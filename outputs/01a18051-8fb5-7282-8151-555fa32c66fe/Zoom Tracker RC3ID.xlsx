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993dcf1ca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e5e54df4cdf443a2"/>
    <x:sheet xmlns:r="http://schemas.openxmlformats.org/officeDocument/2006/relationships" name="Jadwal" sheetId="2" r:id="Rbfe65193e9bd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hh:mm"/>
  </x:numFmts>
  <x:fonts count="13">
    <x:font>
      <x:sz val="11"/>
      <x:name val="Carlito"/>
    </x:font>
    <x:font>
      <x:b/>
      <x:sz val="15"/>
      <x:color rgb="FFFFFFFF"/>
      <x:name val="Arial"/>
    </x:font>
    <x:font>
      <x:sz val="10"/>
      <x:color rgb="FF667085"/>
      <x:name val="Arial"/>
    </x:font>
    <x:font>
      <x:b/>
      <x:sz val="10"/>
      <x:color rgb="FF253247"/>
      <x:name val="Arial"/>
    </x:font>
    <x:font>
      <x:b/>
      <x:sz val="11"/>
      <x:color rgb="FF253656"/>
      <x:name val="Arial"/>
    </x:font>
    <x:font>
      <x:b/>
      <x:sz val="19"/>
      <x:color rgb="FF253656"/>
      <x:name val="Arial"/>
    </x:font>
    <x:font>
      <x:b/>
      <x:sz val="10"/>
      <x:color rgb="FFFFFFFF"/>
      <x:name val="Arial"/>
    </x:font>
    <x:font>
      <x:b/>
      <x:sz val="10"/>
      <x:color rgb="FF253656"/>
      <x:name val="Arial"/>
    </x:font>
    <x:font>
      <x:i/>
      <x:sz val="9"/>
      <x:color rgb="FF667085"/>
      <x:name val="Arial"/>
    </x:font>
    <x:font>
      <x:b/>
      <x:sz val="9"/>
      <x:color rgb="FF253247"/>
      <x:name val="Arial"/>
    </x:font>
    <x:font>
      <x:sz val="9"/>
      <x:color rgb="FF253247"/>
      <x:name val="Arial"/>
    </x:font>
    <x:font>
      <x:b/>
      <x:sz val="9"/>
      <x:color rgb="FFFFFFFF"/>
      <x:name val="Arial"/>
    </x:font>
    <x:font>
      <x:sz val="1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253656"/>
      </x:patternFill>
    </x:fill>
    <x:fill>
      <x:patternFill patternType="solid">
        <x:fgColor rgb="FFF4F6F8"/>
      </x:patternFill>
    </x:fill>
    <x:fill>
      <x:patternFill patternType="solid">
        <x:fgColor rgb="FFEAF2FB"/>
      </x:patternFill>
    </x:fill>
    <x:fill>
      <x:patternFill patternType="solid">
        <x:fgColor rgb="FFE9EDF3"/>
      </x:patternFill>
    </x:fill>
    <x:fill>
      <x:patternFill patternType="solid">
        <x:fgColor rgb="FFFFFFFF"/>
      </x:patternFill>
    </x:fill>
    <x:fill>
      <x:patternFill patternType="solid">
        <x:fgColor rgb="FFBD272D"/>
      </x:patternFill>
    </x:fill>
    <x:fill>
      <x:patternFill patternType="solid">
        <x:fgColor rgb="FFEEF2F6"/>
      </x:patternFill>
    </x:fill>
  </x:fills>
  <x:borders count="21">
    <x:border>
      <x:left/>
      <x:right/>
      <x:top/>
      <x:bottom/>
      <x:diagonal/>
    </x:border>
    <x:border>
      <x:left style="thin">
        <x:color rgb="FFD5DAE1"/>
      </x:left>
      <x:right/>
      <x:top style="thin">
        <x:color rgb="FFD5DAE1"/>
      </x:top>
      <x:bottom style="thin">
        <x:color rgb="FFD5DAE1"/>
      </x:bottom>
      <x:diagonal/>
    </x:border>
    <x:border>
      <x:left/>
      <x:right/>
      <x:top style="thin">
        <x:color rgb="FFD5DAE1"/>
      </x:top>
      <x:bottom style="thin">
        <x:color rgb="FFD5DAE1"/>
      </x:bottom>
      <x:diagonal/>
    </x:border>
    <x:border>
      <x:left/>
      <x:right style="thin">
        <x:color rgb="FFD5DAE1"/>
      </x:right>
      <x:top style="thin">
        <x:color rgb="FFD5DAE1"/>
      </x:top>
      <x:bottom style="thin">
        <x:color rgb="FFD5DAE1"/>
      </x:bottom>
      <x:diagonal/>
    </x:border>
    <x:border>
      <x:left style="thin">
        <x:color rgb="FFD5DAE1"/>
      </x:left>
      <x:right style="thin">
        <x:color rgb="FFD5DAE1"/>
      </x:right>
      <x:top style="thin">
        <x:color rgb="FFD5DAE1"/>
      </x:top>
      <x:bottom style="thin">
        <x:color rgb="FFD5DAE1"/>
      </x:bottom>
      <x:diagonal/>
    </x:border>
    <x:border>
      <x:left style="thin">
        <x:color rgb="FFD5DAE1"/>
      </x:left>
      <x:right/>
      <x:top style="thin">
        <x:color rgb="FFD5DAE1"/>
      </x:top>
      <x:bottom/>
      <x:diagonal/>
    </x:border>
    <x:border>
      <x:left/>
      <x:right/>
      <x:top style="thin">
        <x:color rgb="FFD5DAE1"/>
      </x:top>
      <x:bottom/>
      <x:diagonal/>
    </x:border>
    <x:border>
      <x:left/>
      <x:right style="thin">
        <x:color rgb="FFD5DAE1"/>
      </x:right>
      <x:top style="thin">
        <x:color rgb="FFD5DAE1"/>
      </x:top>
      <x:bottom/>
      <x:diagonal/>
    </x:border>
    <x:border>
      <x:left style="thin">
        <x:color rgb="FFD5DAE1"/>
      </x:left>
      <x:right/>
      <x:top/>
      <x:bottom/>
      <x:diagonal/>
    </x:border>
    <x:border>
      <x:left/>
      <x:right style="thin">
        <x:color rgb="FFD5DAE1"/>
      </x:right>
      <x:top/>
      <x:bottom/>
      <x:diagonal/>
    </x:border>
    <x:border>
      <x:left style="thin">
        <x:color rgb="FFD5DAE1"/>
      </x:left>
      <x:right/>
      <x:top/>
      <x:bottom style="thin">
        <x:color rgb="FFD5DAE1"/>
      </x:bottom>
      <x:diagonal/>
    </x:border>
    <x:border>
      <x:left/>
      <x:right/>
      <x:top/>
      <x:bottom style="thin">
        <x:color rgb="FFD5DAE1"/>
      </x:bottom>
      <x:diagonal/>
    </x:border>
    <x:border>
      <x:left/>
      <x:right style="thin">
        <x:color rgb="FFD5DAE1"/>
      </x:right>
      <x:top/>
      <x:bottom style="thin">
        <x:color rgb="FFD5DAE1"/>
      </x:bottom>
      <x:diagonal/>
    </x:border>
    <x:border>
      <x:left style="thin">
        <x:color rgb="FFE1E5EA"/>
      </x:left>
      <x:right/>
      <x:top style="thin">
        <x:color rgb="FFE1E5EA"/>
      </x:top>
      <x:bottom/>
      <x:diagonal/>
    </x:border>
    <x:border>
      <x:left/>
      <x:right/>
      <x:top style="thin">
        <x:color rgb="FFE1E5EA"/>
      </x:top>
      <x:bottom/>
      <x:diagonal/>
    </x:border>
    <x:border>
      <x:left/>
      <x:right style="thin">
        <x:color rgb="FFE1E5EA"/>
      </x:right>
      <x:top style="thin">
        <x:color rgb="FFE1E5EA"/>
      </x:top>
      <x:bottom/>
      <x:diagonal/>
    </x:border>
    <x:border>
      <x:left style="thin">
        <x:color rgb="FFE1E5EA"/>
      </x:left>
      <x:right/>
      <x:top/>
      <x:bottom/>
      <x:diagonal/>
    </x:border>
    <x:border>
      <x:left/>
      <x:right style="thin">
        <x:color rgb="FFE1E5EA"/>
      </x:right>
      <x:top/>
      <x:bottom/>
      <x:diagonal/>
    </x:border>
    <x:border>
      <x:left style="thin">
        <x:color rgb="FFE1E5EA"/>
      </x:left>
      <x:right/>
      <x:top/>
      <x:bottom style="thin">
        <x:color rgb="FFE1E5EA"/>
      </x:bottom>
      <x:diagonal/>
    </x:border>
    <x:border>
      <x:left/>
      <x:right/>
      <x:top/>
      <x:bottom style="thin">
        <x:color rgb="FFE1E5EA"/>
      </x:bottom>
      <x:diagonal/>
    </x:border>
    <x:border>
      <x:left/>
      <x:right style="thin">
        <x:color rgb="FFE1E5EA"/>
      </x:right>
      <x:top/>
      <x:bottom style="thin">
        <x:color rgb="FFE1E5EA"/>
      </x:bottom>
      <x:diagonal/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vertical="center"/>
    </x:xf>
    <x:xf numFmtId="200" fontId="4" fillId="4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7" fillId="4" borderId="2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horizontal="center" vertical="center"/>
    </x:xf>
    <x:xf numFmtId="200" fontId="7" fillId="4" borderId="4" xfId="0" applyNumberFormat="1" applyFont="1" applyFill="1" applyBorder="1" applyAlignment="1">
      <x:alignment horizontal="center" vertical="center"/>
    </x:xf>
    <x:xf numFmtId="201" fontId="7" fillId="4" borderId="4" xfId="0" applyNumberFormat="1" applyFont="1" applyFill="1" applyBorder="1" applyAlignment="1">
      <x:alignment horizontal="center" vertical="center"/>
    </x:xf>
    <x:xf numFmtId="201" fontId="3" fillId="3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7" fillId="8" borderId="3" xfId="0" applyNumberFormat="1" applyFont="1" applyFill="1" applyBorder="1" applyAlignment="1">
      <x:alignment vertical="center"/>
    </x:xf>
    <x:xf numFmtId="0" fontId="7" fillId="8" borderId="4" xfId="0" applyNumberFormat="1" applyFont="1" applyFill="1" applyBorder="1" applyAlignment="1">
      <x:alignment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2" xfId="0" applyNumberFormat="1" applyFont="1" applyFill="1" applyBorder="1" applyAlignment="1">
      <x:alignment horizontal="center"/>
    </x:xf>
    <x:xf numFmtId="0" fontId="9" fillId="5" borderId="3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1" fontId="10" fillId="0" borderId="0" xfId="0" applyNumberFormat="1" applyFont="1" applyFill="1" applyBorder="1" applyAlignment="1">
      <x:alignment horizontal="center"/>
    </x:xf>
    <x:xf numFmtId="201" fontId="10" fillId="0" borderId="5" xfId="0" applyNumberFormat="1" applyFont="1" applyFill="1" applyBorder="1" applyAlignment="1">
      <x:alignment horizontal="center"/>
    </x:xf>
    <x:xf numFmtId="201" fontId="10" fillId="0" borderId="6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10" fillId="0" borderId="8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201" fontId="10" fillId="0" borderId="10" xfId="0" applyNumberFormat="1" applyFont="1" applyFill="1" applyBorder="1" applyAlignment="1">
      <x:alignment horizontal="center"/>
    </x:xf>
    <x:xf numFmtId="201" fontId="10" fillId="0" borderId="1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6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5" xfId="0" applyNumberFormat="1" applyFont="1" applyFill="1" applyBorder="1"/>
    <x:xf numFmtId="0" fontId="10" fillId="3" borderId="7" xfId="0" applyNumberFormat="1" applyFont="1" applyFill="1" applyBorder="1"/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2" xfId="0" applyNumberFormat="1" applyFont="1" applyFill="1" applyBorder="1"/>
    <x:xf numFmtId="0" fontId="10" fillId="2" borderId="5" xfId="0" applyNumberFormat="1" applyFont="1" applyFill="1" applyBorder="1"/>
    <x:xf numFmtId="0" fontId="10" fillId="2" borderId="7" xfId="0" applyNumberFormat="1" applyFont="1" applyFill="1" applyBorder="1"/>
    <x:xf numFmtId="0" fontId="11" fillId="2" borderId="5" xfId="0" applyNumberFormat="1" applyFont="1" applyFill="1" applyBorder="1"/>
    <x:xf numFmtId="0" fontId="11" fillId="2" borderId="7" xfId="0" applyNumberFormat="1" applyFont="1" applyFill="1" applyBorder="1"/>
    <x:xf numFmtId="0" fontId="11" fillId="2" borderId="1" xfId="0" applyNumberFormat="1" applyFont="1" applyFill="1" applyBorder="1"/>
    <x:xf numFmtId="0" fontId="11" fillId="2" borderId="3" xfId="0" applyNumberFormat="1" applyFont="1" applyFill="1" applyBorder="1"/>
    <x:xf numFmtId="0" fontId="12" fillId="0" borderId="0" xfId="0" applyNumberFormat="1" applyFont="1" applyFill="1" applyBorder="1"/>
    <x:xf numFmtId="0" fontId="12" fillId="0" borderId="6" xfId="0" applyNumberFormat="1" applyFont="1" applyFill="1" applyBorder="1" applyAlignment="1">
      <x:alignment horizontal="center"/>
    </x:xf>
    <x:xf numFmtId="0" fontId="12" fillId="0" borderId="7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/>
    </x:xf>
    <x:xf numFmtId="0" fontId="12" fillId="0" borderId="9" xfId="0" applyNumberFormat="1" applyFont="1" applyFill="1" applyBorder="1" applyAlignment="1">
      <x:alignment horizontal="center"/>
    </x:xf>
    <x:xf numFmtId="0" fontId="12" fillId="0" borderId="11" xfId="0" applyNumberFormat="1" applyFont="1" applyFill="1" applyBorder="1" applyAlignment="1">
      <x:alignment horizontal="center"/>
    </x:xf>
    <x:xf numFmtId="0" fontId="12" fillId="0" borderId="12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2" xfId="0" applyNumberFormat="1" applyFont="1" applyFill="1" applyBorder="1"/>
    <x:xf numFmtId="0" fontId="11" fillId="2" borderId="1" xfId="0" applyNumberFormat="1" applyFont="1" applyFill="1" applyBorder="1" applyAlignment="1">
      <x:alignment wrapText="1"/>
    </x:xf>
    <x:xf numFmtId="0" fontId="11" fillId="2" borderId="2" xfId="0" applyNumberFormat="1" applyFont="1" applyFill="1" applyBorder="1" applyAlignment="1">
      <x:alignment wrapText="1"/>
    </x:xf>
    <x:xf numFmtId="0" fontId="11" fillId="2" borderId="3" xfId="0" applyNumberFormat="1" applyFont="1" applyFill="1" applyBorder="1" applyAlignment="1">
      <x:alignment wrapText="1"/>
    </x:xf>
    <x:xf numFmtId="0" fontId="11" fillId="2" borderId="1" xfId="0" applyNumberFormat="1" applyFont="1" applyFill="1" applyBorder="1" applyAlignment="1">
      <x:alignment horizontal="center" wrapText="1"/>
    </x:xf>
    <x:xf numFmtId="0" fontId="11" fillId="2" borderId="2" xfId="0" applyNumberFormat="1" applyFont="1" applyFill="1" applyBorder="1" applyAlignment="1">
      <x:alignment horizontal="center" wrapText="1"/>
    </x:xf>
    <x:xf numFmtId="0" fontId="11" fillId="2" borderId="3" xfId="0" applyNumberFormat="1" applyFont="1" applyFill="1" applyBorder="1" applyAlignment="1">
      <x:alignment horizontal="center" wrapText="1"/>
    </x:xf>
    <x:xf numFmtId="0" fontId="11" fillId="2" borderId="1" xfId="0" applyNumberFormat="1" applyFont="1" applyFill="1" applyBorder="1" applyAlignment="1">
      <x:alignment horizontal="center" vertical="center" wrapText="1"/>
    </x:xf>
    <x:xf numFmtId="0" fontId="11" fillId="2" borderId="2" xfId="0" applyNumberFormat="1" applyFont="1" applyFill="1" applyBorder="1" applyAlignment="1">
      <x:alignment horizontal="center" vertical="center" wrapText="1"/>
    </x:xf>
    <x:xf numFmtId="0" fontId="11" fillId="2" borderId="3" xfId="0" applyNumberFormat="1" applyFont="1" applyFill="1" applyBorder="1" applyAlignment="1">
      <x:alignment horizontal="center" vertical="center" wrapText="1"/>
    </x:xf>
    <x:xf numFmtId="0" fontId="10" fillId="0" borderId="13" xfId="0" applyNumberFormat="1" applyFont="1" applyFill="1" applyBorder="1"/>
    <x:xf numFmtId="0" fontId="10" fillId="0" borderId="14" xfId="0" applyNumberFormat="1" applyFont="1" applyFill="1" applyBorder="1"/>
    <x:xf numFmtId="0" fontId="10" fillId="0" borderId="15" xfId="0" applyNumberFormat="1" applyFont="1" applyFill="1" applyBorder="1"/>
    <x:xf numFmtId="0" fontId="10" fillId="0" borderId="16" xfId="0" applyNumberFormat="1" applyFont="1" applyFill="1" applyBorder="1"/>
    <x:xf numFmtId="0" fontId="10" fillId="0" borderId="17" xfId="0" applyNumberFormat="1" applyFont="1" applyFill="1" applyBorder="1"/>
    <x:xf numFmtId="0" fontId="10" fillId="0" borderId="18" xfId="0" applyNumberFormat="1" applyFont="1" applyFill="1" applyBorder="1"/>
    <x:xf numFmtId="0" fontId="10" fillId="0" borderId="19" xfId="0" applyNumberFormat="1" applyFont="1" applyFill="1" applyBorder="1"/>
    <x:xf numFmtId="0" fontId="10" fillId="0" borderId="20" xfId="0" applyNumberFormat="1" applyFont="1" applyFill="1" applyBorder="1"/>
    <x:xf numFmtId="200" fontId="10" fillId="0" borderId="14" xfId="0" applyNumberFormat="1" applyFont="1" applyFill="1" applyBorder="1"/>
    <x:xf numFmtId="200" fontId="10" fillId="0" borderId="0" xfId="0" applyNumberFormat="1" applyFont="1" applyFill="1" applyBorder="1"/>
    <x:xf numFmtId="200" fontId="10" fillId="0" borderId="19" xfId="0" applyNumberFormat="1" applyFont="1" applyFill="1" applyBorder="1"/>
    <x:xf numFmtId="201" fontId="10" fillId="0" borderId="14" xfId="0" applyNumberFormat="1" applyFont="1" applyFill="1" applyBorder="1"/>
    <x:xf numFmtId="201" fontId="10" fillId="0" borderId="19" xfId="0" applyNumberFormat="1" applyFont="1" applyFill="1" applyBorder="1"/>
    <x:xf numFmtId="0" fontId="10" fillId="0" borderId="14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/>
    </x:xf>
    <x:xf numFmtId="0" fontId="10" fillId="0" borderId="19" xfId="0" applyNumberFormat="1" applyFont="1" applyFill="1" applyBorder="1" applyAlignment="1">
      <x:alignment horizontal="center"/>
    </x:xf>
    <x:xf numFmtId="200" fontId="10" fillId="0" borderId="14" xfId="0" applyNumberFormat="1" applyFont="1" applyFill="1" applyBorder="1" applyAlignment="1">
      <x:alignment horizontal="center"/>
    </x:xf>
    <x:xf numFmtId="200" fontId="10" fillId="0" borderId="0" xfId="0" applyNumberFormat="1" applyFont="1" applyFill="1" applyBorder="1" applyAlignment="1">
      <x:alignment horizontal="center"/>
    </x:xf>
    <x:xf numFmtId="200" fontId="10" fillId="0" borderId="19" xfId="0" applyNumberFormat="1" applyFont="1" applyFill="1" applyBorder="1" applyAlignment="1">
      <x:alignment horizontal="center"/>
    </x:xf>
    <x:xf numFmtId="201" fontId="10" fillId="0" borderId="14" xfId="0" applyNumberFormat="1" applyFont="1" applyFill="1" applyBorder="1" applyAlignment="1">
      <x:alignment horizontal="center"/>
    </x:xf>
    <x:xf numFmtId="201" fontId="10" fillId="0" borderId="19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  <x:color rgb="FF9B1C22"/>
      </x:font>
      <x:fill>
        <x:patternFill patternType="solid">
          <x:bgColor rgb="FFFCE8E8"/>
        </x:patternFill>
      </x:fill>
    </x:dxf>
    <x:dxf>
      <x:font>
        <x:color rgb="FF45624A"/>
      </x:font>
      <x:fill>
        <x:patternFill patternType="solid">
          <x:bgColor rgb="FFEDF3EE"/>
        </x:patternFill>
      </x:fill>
    </x:dxf>
    <x:dxf>
      <x:font>
        <x:b/>
        <x:color rgb="FF9B1C22"/>
      </x:font>
      <x:fill>
        <x:patternFill patternType="solid">
          <x:bgColor rgb="FFFCE8E8"/>
        </x:patternFill>
      </x:fill>
    </x:dxf>
    <x:dxf>
      <x:font>
        <x:b/>
        <x:color rgb="FF45624A"/>
      </x:font>
      <x:fill>
        <x:patternFill patternType="solid">
          <x:bgColor rgb="FFEDF3EE"/>
        </x:patternFill>
      </x:fill>
    </x:dxf>
    <x:dxf>
      <x:font>
        <x:color rgb="FF667085"/>
      </x:font>
      <x:fill>
        <x:patternFill patternType="solid">
          <x:bgColor rgb="FFEEF0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569ae41fa4b93" /><Relationship Type="http://schemas.openxmlformats.org/officeDocument/2006/relationships/theme" Target="/xl/theme/theme1.xml" Id="Rc5f3e7c270294dd2" /><Relationship Type="http://schemas.openxmlformats.org/officeDocument/2006/relationships/sharedStrings" Target="/xl/sharedStrings.xml" Id="R75fe410f764c4e27" /><Relationship Type="http://schemas.openxmlformats.org/officeDocument/2006/relationships/worksheet" Target="/xl/worksheets/sheet1.xml" Id="Re5e54df4cdf443a2" /><Relationship Type="http://schemas.openxmlformats.org/officeDocument/2006/relationships/worksheet" Target="/xl/worksheets/sheet2.xml" Id="Rbfe65193e9bd4c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d052d9aa5f43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Kapasitas slot harian</a:t>
            </a:r>
          </a:p>
        </c:rich>
      </c:tx>
      <c:overlay val="0"/>
    </c:title>
    <c:plotArea>
      <c:doughnutChart>
        <c:ser>
          <c:idx val="0"/>
          <c:order val="0"/>
          <c:tx>
            <c:v>Jumlah</c:v>
          </c:tx>
          <c:cat>
            <c:strRef>
              <c:f>'Ringkasan'!$F$33:$F$34</c:f>
              <c:strCache>
                <c:ptCount val="0"/>
              </c:strCache>
            </c:strRef>
          </c:cat>
          <c:val>
            <c:numRef>
              <c:f>'Ringkasan'!$G$33:$G$34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13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d052d9aa5f43b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adwalZoom" displayName="JadwalZoom" ref="A5:N255" headerRowCount="1" totalsRowCount="0" totalsRowShown="0">
  <x:tableColumns count="14">
    <x:tableColumn id="1" name="Nama Kegiatan"/>
    <x:tableColumn id="2" name="Divisi"/>
    <x:tableColumn id="3" name="Nama PIC"/>
    <x:tableColumn id="4" name="Kontak PIC"/>
    <x:tableColumn id="5" name="Jenis"/>
    <x:tableColumn id="6" name="Tanggal"/>
    <x:tableColumn id="7" name="Hari Rutin"/>
    <x:tableColumn id="8" name="Mulai"/>
    <x:tableColumn id="9" name="Selesai"/>
    <x:tableColumn id="10" name="Status"/>
    <x:tableColumn id="11" name="Link Zoom"/>
    <x:tableColumn id="12" name="Zoom ID"/>
    <x:tableColumn id="13" name="Passcode"/>
    <x:tableColumn id="14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bb7d67b18240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f279fd11c34ff7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4" hidden="0" customWidth="1"/>
    <x:col min="3" max="3" width="17" hidden="0" customWidth="1"/>
    <x:col min="4" max="4" width="16" hidden="0" customWidth="1"/>
    <x:col min="5" max="5" width="15" hidden="0" customWidth="1"/>
    <x:col min="6" max="6" width="13" hidden="0" customWidth="1"/>
    <x:col min="7" max="7" width="16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3" t="str">
        <x:v>JADWAL &amp; ZOOM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Ringkasan ketersediaan, pemeriksaan bentrok, dan jadwal harian. Isi atau ubah catatan pada sheet Jadwal.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88"/>
      <x:c r="B3" s="88"/>
      <x:c r="C3" s="88"/>
      <x:c r="D3" s="88"/>
      <x:c r="E3" s="88"/>
      <x:c r="F3" s="88"/>
      <x:c r="G3" s="88"/>
      <x:c r="H3" s="88"/>
      <x:c r="I3" s="88"/>
      <x:c r="J3" s="88"/>
      <x:c r="K3" s="88"/>
      <x:c r="L3" s="88"/>
    </x:row>
    <x:row r="4">
      <x:c r="A4" s="12" t="str">
        <x:v>Tanggal tampilan</x:v>
      </x:c>
      <x:c r="B4" s="18" t="n">
        <x:f>TODAY()</x:f>
        <x:v>46324</x:v>
      </x:c>
      <x:c r="C4" s="13" t="str">
        <x:v>Hari</x:v>
      </x:c>
      <x:c r="D4" s="19" t="str">
        <x:f>CHOOSE(WEEKDAY(B4,2),"Senin","Selasa","Rabu","Kamis","Jumat","Sabtu","Minggu")</x:f>
        <x:v>Kamis</x:v>
      </x:c>
      <x:c r="E4" s="88"/>
      <x:c r="F4" s="88"/>
      <x:c r="G4" s="88"/>
      <x:c r="H4" s="88"/>
      <x:c r="I4" s="88"/>
      <x:c r="J4" s="88"/>
      <x:c r="K4" s="88"/>
      <x:c r="L4" s="88"/>
    </x:row>
    <x:row r="5">
      <x:c r="A5" s="88"/>
      <x:c r="B5" s="88"/>
      <x:c r="C5" s="88"/>
      <x:c r="D5" s="88"/>
      <x:c r="E5" s="88"/>
      <x:c r="F5" s="88"/>
      <x:c r="G5" s="88"/>
      <x:c r="H5" s="88"/>
      <x:c r="I5" s="88"/>
      <x:c r="J5" s="88"/>
      <x:c r="K5" s="88"/>
      <x:c r="L5" s="88"/>
    </x:row>
    <x:row r="6" ht="26" customHeight="1">
      <x:c r="A6" s="25" t="str">
        <x:v>Jadwal aktif</x:v>
      </x:c>
      <x:c r="B6" s="88"/>
      <x:c r="C6" s="25" t="str">
        <x:v>Terkonfirmasi</x:v>
      </x:c>
      <x:c r="D6" s="88"/>
      <x:c r="E6" s="25" t="str">
        <x:v>Tentatif</x:v>
      </x:c>
      <x:c r="F6" s="88"/>
      <x:c r="G6" s="25" t="str">
        <x:v>Slot tersedia</x:v>
      </x:c>
      <x:c r="H6" s="88"/>
      <x:c r="I6" s="88"/>
      <x:c r="J6" s="88"/>
      <x:c r="K6" s="88"/>
      <x:c r="L6" s="88"/>
    </x:row>
    <x:row r="7" ht="26" customHeight="1">
      <x:c r="A7" s="30" t="n">
        <x:f>COUNTIFS(Jadwal!$A$6:$A$255,"&lt;&gt;",Jadwal!$E$6:$E$255,"Tanggal",Jadwal!$F$6:$F$255,$B$4,Jadwal!$J$6:$J$255,"&lt;&gt;Dibatalkan")+COUNTIFS(Jadwal!$A$6:$A$255,"&lt;&gt;",Jadwal!$E$6:$E$255,"Rutin",Jadwal!$G$6:$G$255,$D$4,Jadwal!$J$6:$J$255,"&lt;&gt;Dibatalkan")</x:f>
        <x:v>0</x:v>
      </x:c>
      <x:c r="B7" s="88"/>
      <x:c r="C7" s="30" t="n">
        <x:f>COUNTIFS(Jadwal!$A$6:$A$255,"&lt;&gt;",Jadwal!$E$6:$E$255,"Tanggal",Jadwal!$F$6:$F$255,$B$4,Jadwal!$J$6:$J$255,"Terkonfirmasi")+COUNTIFS(Jadwal!$A$6:$A$255,"&lt;&gt;",Jadwal!$E$6:$E$255,"Rutin",Jadwal!$G$6:$G$255,$D$4,Jadwal!$J$6:$J$255,"Terkonfirmasi")</x:f>
        <x:v>0</x:v>
      </x:c>
      <x:c r="D7" s="88"/>
      <x:c r="E7" s="30" t="n">
        <x:f>COUNTIFS(Jadwal!$A$6:$A$255,"&lt;&gt;",Jadwal!$E$6:$E$255,"Tanggal",Jadwal!$F$6:$F$255,$B$4,Jadwal!$J$6:$J$255,"Tentatif")+COUNTIFS(Jadwal!$A$6:$A$255,"&lt;&gt;",Jadwal!$E$6:$E$255,"Rutin",Jadwal!$G$6:$G$255,$D$4,Jadwal!$J$6:$J$255,"Tentatif")</x:f>
        <x:v>0</x:v>
      </x:c>
      <x:c r="F7" s="88"/>
      <x:c r="G7" s="30" t="n">
        <x:f>24-COUNTIF($C$16:$C$39,"Terisi")</x:f>
        <x:v>24</x:v>
      </x:c>
      <x:c r="H7" s="88"/>
      <x:c r="I7" s="88"/>
      <x:c r="J7" s="88"/>
      <x:c r="K7" s="88"/>
      <x:c r="L7" s="88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</x:row>
    <x:row r="9">
      <x:c r="A9" s="33" t="str">
        <x:v>PEMERIKSA BENTROK CEPAT</x:v>
      </x:c>
      <x:c r="B9" s="33"/>
      <x:c r="C9" s="33"/>
      <x:c r="D9" s="33"/>
      <x:c r="E9" s="33"/>
      <x:c r="F9" s="33"/>
      <x:c r="G9" s="33"/>
      <x:c r="H9" s="33"/>
      <x:c r="I9" s="88"/>
      <x:c r="J9" s="88"/>
      <x:c r="K9" s="88"/>
      <x:c r="L9" s="88"/>
    </x:row>
    <x:row r="10">
      <x:c r="A10" s="12" t="str">
        <x:v>Tanggal</x:v>
      </x:c>
      <x:c r="B10" s="37" t="n">
        <x:f>B4</x:f>
        <x:v>46324</x:v>
      </x:c>
      <x:c r="C10" s="13" t="str">
        <x:v>Mulai</x:v>
      </x:c>
      <x:c r="D10" s="38" t="n">
        <x:v>0.375</x:v>
      </x:c>
      <x:c r="E10" s="39" t="str">
        <x:v>Selesai</x:v>
      </x:c>
      <x:c r="F10" s="38" t="n">
        <x:v>0.4166666666666667</x:v>
      </x:c>
      <x:c r="G10" s="13" t="str">
        <x:v>Status</x:v>
      </x:c>
      <x:c r="H10" s="43" t="str">
        <x:f>IF(OR(B10="",D10="",F10=""),"Lengkapi data",IF(F10&lt;=D10,"Periksa jam",IF((COUNTIFS(Jadwal!$A$6:$A$255,"&lt;&gt;",Jadwal!$E$6:$E$255,"Tanggal",Jadwal!$F$6:$F$255,B10,Jadwal!$H$6:$H$255,"&lt;"&amp;F10,Jadwal!$I$6:$I$255,"&gt;"&amp;D10,Jadwal!$J$6:$J$255,"&lt;&gt;Dibatalkan")+COUNTIFS(Jadwal!$A$6:$A$255,"&lt;&gt;",Jadwal!$E$6:$E$255,"Rutin",Jadwal!$G$6:$G$255,CHOOSE(WEEKDAY(B10,2),"Senin","Selasa","Rabu","Kamis","Jumat","Sabtu","Minggu"),Jadwal!$H$6:$H$255,"&lt;"&amp;F10,Jadwal!$I$6:$I$255,"&gt;"&amp;D10,Jadwal!$J$6:$J$255,"&lt;&gt;Dibatalkan"))&gt;0,"BENTROK","TERSEDIA")))</x:f>
        <x:v>TERSEDIA</x:v>
      </x:c>
      <x:c r="I10" s="88"/>
      <x:c r="J10" s="88"/>
      <x:c r="K10" s="88"/>
      <x:c r="L10" s="88"/>
    </x:row>
    <x:row r="11">
      <x:c r="A11" s="45" t="str">
        <x:v>Atur tanggal dan waktu di sel berwarna biru muda; hasil berubah otomatis.</x:v>
      </x:c>
      <x:c r="B11" s="45"/>
      <x:c r="C11" s="45"/>
      <x:c r="D11" s="45"/>
      <x:c r="E11" s="45"/>
      <x:c r="F11" s="45"/>
      <x:c r="G11" s="45"/>
      <x:c r="H11" s="45"/>
      <x:c r="I11" s="88"/>
      <x:c r="J11" s="88"/>
      <x:c r="K11" s="88"/>
      <x:c r="L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</x:row>
    <x:row r="14" ht="22" customHeight="1">
      <x:c r="A14" s="47" t="str">
        <x:v>KETERSEDIAAN HARIAN · SLOT 30 MENIT</x:v>
      </x:c>
      <x:c r="B14" s="47"/>
      <x:c r="C14" s="47"/>
      <x:c r="D14" s="47"/>
      <x:c r="E14" s="88"/>
      <x:c r="F14" s="88"/>
      <x:c r="G14" s="88"/>
      <x:c r="H14" s="88"/>
      <x:c r="I14" s="88"/>
      <x:c r="J14" s="88"/>
      <x:c r="K14" s="88"/>
      <x:c r="L14" s="88"/>
    </x:row>
    <x:row r="15" ht="22" customHeight="1">
      <x:c r="A15" s="52" t="str">
        <x:v>Mulai</x:v>
      </x:c>
      <x:c r="B15" s="53" t="str">
        <x:v>Selesai</x:v>
      </x:c>
      <x:c r="C15" s="53" t="str">
        <x:v>Status</x:v>
      </x:c>
      <x:c r="D15" s="54" t="str">
        <x:v>Jumlah Jadwal</x:v>
      </x:c>
      <x:c r="E15" s="88"/>
      <x:c r="F15" s="88"/>
      <x:c r="G15" s="88"/>
      <x:c r="H15" s="88"/>
      <x:c r="I15" s="88"/>
      <x:c r="J15" s="88"/>
      <x:c r="K15" s="88"/>
      <x:c r="L15" s="88"/>
    </x:row>
    <x:row r="16" ht="19" customHeight="1">
      <x:c r="A16" s="58" t="n">
        <x:v>0.3333333333333333</x:v>
      </x:c>
      <x:c r="B16" s="59" t="n">
        <x:f>A16+TIME(0,30,0)</x:f>
        <x:v>0.35416666666666663</x:v>
      </x:c>
      <x:c r="C16" s="89" t="str">
        <x:f>IF(D16&gt;0,"Terisi","Kosong")</x:f>
        <x:v>Kosong</x:v>
      </x:c>
      <x:c r="D16" s="90" t="n">
        <x:f>COUNTIFS(Jadwal!$A$6:$A$255,"&lt;&gt;",Jadwal!$E$6:$E$255,"Tanggal",Jadwal!$F$6:$F$255,$B$4,Jadwal!$H$6:$H$255,"&lt;"&amp;$B16,Jadwal!$I$6:$I$255,"&gt;"&amp;$A16,Jadwal!$J$6:$J$255,"&lt;&gt;Dibatalkan")+COUNTIFS(Jadwal!$A$6:$A$255,"&lt;&gt;",Jadwal!$E$6:$E$255,"Rutin",Jadwal!$G$6:$G$255,$D$4,Jadwal!$H$6:$H$255,"&lt;"&amp;$B16,Jadwal!$I$6:$I$255,"&gt;"&amp;$A16,Jadwal!$J$6:$J$255,"&lt;&gt;Dibatalkan")</x:f>
        <x:v>0</x:v>
      </x:c>
      <x:c r="E16" s="88"/>
      <x:c r="F16" s="88"/>
      <x:c r="G16" s="88"/>
      <x:c r="H16" s="88"/>
      <x:c r="I16" s="88"/>
      <x:c r="J16" s="88"/>
      <x:c r="K16" s="88"/>
      <x:c r="L16" s="88"/>
    </x:row>
    <x:row r="17" ht="19" customHeight="1">
      <x:c r="A17" s="62" t="n">
        <x:v>0.35416666666666663</x:v>
      </x:c>
      <x:c r="B17" s="57" t="n">
        <x:f>A17+TIME(0,30,0)</x:f>
        <x:v>0.37499999999999994</x:v>
      </x:c>
      <x:c r="C17" s="91" t="str">
        <x:f>IF(D17&gt;0,"Terisi","Kosong")</x:f>
        <x:v>Kosong</x:v>
      </x:c>
      <x:c r="D17" s="92" t="n">
        <x:f>COUNTIFS(Jadwal!$A$6:$A$255,"&lt;&gt;",Jadwal!$E$6:$E$255,"Tanggal",Jadwal!$F$6:$F$255,$B$4,Jadwal!$H$6:$H$255,"&lt;"&amp;$B17,Jadwal!$I$6:$I$255,"&gt;"&amp;$A17,Jadwal!$J$6:$J$255,"&lt;&gt;Dibatalkan")+COUNTIFS(Jadwal!$A$6:$A$255,"&lt;&gt;",Jadwal!$E$6:$E$255,"Rutin",Jadwal!$G$6:$G$255,$D$4,Jadwal!$H$6:$H$255,"&lt;"&amp;$B17,Jadwal!$I$6:$I$255,"&gt;"&amp;$A17,Jadwal!$J$6:$J$255,"&lt;&gt;Dibatalkan")</x:f>
        <x:v>0</x:v>
      </x:c>
      <x:c r="E17" s="88"/>
      <x:c r="F17" s="88"/>
      <x:c r="G17" s="88"/>
      <x:c r="H17" s="88"/>
      <x:c r="I17" s="88"/>
      <x:c r="J17" s="88"/>
      <x:c r="K17" s="88"/>
      <x:c r="L17" s="88"/>
    </x:row>
    <x:row r="18" ht="19" customHeight="1">
      <x:c r="A18" s="62" t="n">
        <x:v>0.375</x:v>
      </x:c>
      <x:c r="B18" s="57" t="n">
        <x:f>A18+TIME(0,30,0)</x:f>
        <x:v>0.3958333333333333</x:v>
      </x:c>
      <x:c r="C18" s="91" t="str">
        <x:f>IF(D18&gt;0,"Terisi","Kosong")</x:f>
        <x:v>Kosong</x:v>
      </x:c>
      <x:c r="D18" s="92" t="n">
        <x:f>COUNTIFS(Jadwal!$A$6:$A$255,"&lt;&gt;",Jadwal!$E$6:$E$255,"Tanggal",Jadwal!$F$6:$F$255,$B$4,Jadwal!$H$6:$H$255,"&lt;"&amp;$B18,Jadwal!$I$6:$I$255,"&gt;"&amp;$A18,Jadwal!$J$6:$J$255,"&lt;&gt;Dibatalkan")+COUNTIFS(Jadwal!$A$6:$A$255,"&lt;&gt;",Jadwal!$E$6:$E$255,"Rutin",Jadwal!$G$6:$G$255,$D$4,Jadwal!$H$6:$H$255,"&lt;"&amp;$B18,Jadwal!$I$6:$I$255,"&gt;"&amp;$A18,Jadwal!$J$6:$J$255,"&lt;&gt;Dibatalkan")</x:f>
        <x:v>0</x:v>
      </x:c>
      <x:c r="E18" s="88"/>
      <x:c r="F18" s="88"/>
      <x:c r="G18" s="88"/>
      <x:c r="H18" s="88"/>
      <x:c r="I18" s="88"/>
      <x:c r="J18" s="88"/>
      <x:c r="K18" s="88"/>
      <x:c r="L18" s="88"/>
    </x:row>
    <x:row r="19" ht="19" customHeight="1">
      <x:c r="A19" s="62" t="n">
        <x:v>0.3958333333333333</x:v>
      </x:c>
      <x:c r="B19" s="57" t="n">
        <x:f>A19+TIME(0,30,0)</x:f>
        <x:v>0.41666666666666663</x:v>
      </x:c>
      <x:c r="C19" s="91" t="str">
        <x:f>IF(D19&gt;0,"Terisi","Kosong")</x:f>
        <x:v>Kosong</x:v>
      </x:c>
      <x:c r="D19" s="92" t="n">
        <x:f>COUNTIFS(Jadwal!$A$6:$A$255,"&lt;&gt;",Jadwal!$E$6:$E$255,"Tanggal",Jadwal!$F$6:$F$255,$B$4,Jadwal!$H$6:$H$255,"&lt;"&amp;$B19,Jadwal!$I$6:$I$255,"&gt;"&amp;$A19,Jadwal!$J$6:$J$255,"&lt;&gt;Dibatalkan")+COUNTIFS(Jadwal!$A$6:$A$255,"&lt;&gt;",Jadwal!$E$6:$E$255,"Rutin",Jadwal!$G$6:$G$255,$D$4,Jadwal!$H$6:$H$255,"&lt;"&amp;$B19,Jadwal!$I$6:$I$255,"&gt;"&amp;$A19,Jadwal!$J$6:$J$255,"&lt;&gt;Dibatalkan")</x:f>
        <x:v>0</x:v>
      </x:c>
      <x:c r="E19" s="88"/>
      <x:c r="F19" s="88"/>
      <x:c r="G19" s="88"/>
      <x:c r="H19" s="88"/>
      <x:c r="I19" s="88"/>
      <x:c r="J19" s="88"/>
      <x:c r="K19" s="88"/>
      <x:c r="L19" s="88"/>
    </x:row>
    <x:row r="20" ht="19" customHeight="1">
      <x:c r="A20" s="62" t="n">
        <x:v>0.41666666666666663</x:v>
      </x:c>
      <x:c r="B20" s="57" t="n">
        <x:f>A20+TIME(0,30,0)</x:f>
        <x:v>0.43749999999999994</x:v>
      </x:c>
      <x:c r="C20" s="91" t="str">
        <x:f>IF(D20&gt;0,"Terisi","Kosong")</x:f>
        <x:v>Kosong</x:v>
      </x:c>
      <x:c r="D20" s="92" t="n">
        <x:f>COUNTIFS(Jadwal!$A$6:$A$255,"&lt;&gt;",Jadwal!$E$6:$E$255,"Tanggal",Jadwal!$F$6:$F$255,$B$4,Jadwal!$H$6:$H$255,"&lt;"&amp;$B20,Jadwal!$I$6:$I$255,"&gt;"&amp;$A20,Jadwal!$J$6:$J$255,"&lt;&gt;Dibatalkan")+COUNTIFS(Jadwal!$A$6:$A$255,"&lt;&gt;",Jadwal!$E$6:$E$255,"Rutin",Jadwal!$G$6:$G$255,$D$4,Jadwal!$H$6:$H$255,"&lt;"&amp;$B20,Jadwal!$I$6:$I$255,"&gt;"&amp;$A20,Jadwal!$J$6:$J$255,"&lt;&gt;Dibatalkan")</x:f>
        <x:v>0</x:v>
      </x:c>
      <x:c r="E20" s="88"/>
      <x:c r="F20" s="88"/>
      <x:c r="G20" s="88"/>
      <x:c r="H20" s="88"/>
      <x:c r="I20" s="88"/>
      <x:c r="J20" s="88"/>
      <x:c r="K20" s="88"/>
      <x:c r="L20" s="88"/>
    </x:row>
    <x:row r="21" ht="19" customHeight="1">
      <x:c r="A21" s="62" t="n">
        <x:v>0.4375</x:v>
      </x:c>
      <x:c r="B21" s="57" t="n">
        <x:f>A21+TIME(0,30,0)</x:f>
        <x:v>0.4583333333333333</x:v>
      </x:c>
      <x:c r="C21" s="91" t="str">
        <x:f>IF(D21&gt;0,"Terisi","Kosong")</x:f>
        <x:v>Kosong</x:v>
      </x:c>
      <x:c r="D21" s="92" t="n">
        <x:f>COUNTIFS(Jadwal!$A$6:$A$255,"&lt;&gt;",Jadwal!$E$6:$E$255,"Tanggal",Jadwal!$F$6:$F$255,$B$4,Jadwal!$H$6:$H$255,"&lt;"&amp;$B21,Jadwal!$I$6:$I$255,"&gt;"&amp;$A21,Jadwal!$J$6:$J$255,"&lt;&gt;Dibatalkan")+COUNTIFS(Jadwal!$A$6:$A$255,"&lt;&gt;",Jadwal!$E$6:$E$255,"Rutin",Jadwal!$G$6:$G$255,$D$4,Jadwal!$H$6:$H$255,"&lt;"&amp;$B21,Jadwal!$I$6:$I$255,"&gt;"&amp;$A21,Jadwal!$J$6:$J$255,"&lt;&gt;Dibatalkan")</x:f>
        <x:v>0</x:v>
      </x:c>
      <x:c r="E21" s="88"/>
      <x:c r="F21" s="88"/>
      <x:c r="G21" s="88"/>
      <x:c r="H21" s="88"/>
      <x:c r="I21" s="88"/>
      <x:c r="J21" s="88"/>
      <x:c r="K21" s="88"/>
      <x:c r="L21" s="88"/>
    </x:row>
    <x:row r="22" ht="19" customHeight="1">
      <x:c r="A22" s="62" t="n">
        <x:v>0.4583333333333333</x:v>
      </x:c>
      <x:c r="B22" s="57" t="n">
        <x:f>A22+TIME(0,30,0)</x:f>
        <x:v>0.47916666666666663</x:v>
      </x:c>
      <x:c r="C22" s="91" t="str">
        <x:f>IF(D22&gt;0,"Terisi","Kosong")</x:f>
        <x:v>Kosong</x:v>
      </x:c>
      <x:c r="D22" s="92" t="n">
        <x:f>COUNTIFS(Jadwal!$A$6:$A$255,"&lt;&gt;",Jadwal!$E$6:$E$255,"Tanggal",Jadwal!$F$6:$F$255,$B$4,Jadwal!$H$6:$H$255,"&lt;"&amp;$B22,Jadwal!$I$6:$I$255,"&gt;"&amp;$A22,Jadwal!$J$6:$J$255,"&lt;&gt;Dibatalkan")+COUNTIFS(Jadwal!$A$6:$A$255,"&lt;&gt;",Jadwal!$E$6:$E$255,"Rutin",Jadwal!$G$6:$G$255,$D$4,Jadwal!$H$6:$H$255,"&lt;"&amp;$B22,Jadwal!$I$6:$I$255,"&gt;"&amp;$A22,Jadwal!$J$6:$J$255,"&lt;&gt;Dibatalkan")</x:f>
        <x:v>0</x:v>
      </x:c>
      <x:c r="E22" s="88"/>
      <x:c r="F22" s="88"/>
      <x:c r="G22" s="88"/>
      <x:c r="H22" s="88"/>
      <x:c r="I22" s="88"/>
      <x:c r="J22" s="88"/>
      <x:c r="K22" s="88"/>
      <x:c r="L22" s="88"/>
    </x:row>
    <x:row r="23" ht="19" customHeight="1">
      <x:c r="A23" s="62" t="n">
        <x:v>0.47916666666666663</x:v>
      </x:c>
      <x:c r="B23" s="57" t="n">
        <x:f>A23+TIME(0,30,0)</x:f>
        <x:v>0.49999999999999994</x:v>
      </x:c>
      <x:c r="C23" s="91" t="str">
        <x:f>IF(D23&gt;0,"Terisi","Kosong")</x:f>
        <x:v>Kosong</x:v>
      </x:c>
      <x:c r="D23" s="92" t="n">
        <x:f>COUNTIFS(Jadwal!$A$6:$A$255,"&lt;&gt;",Jadwal!$E$6:$E$255,"Tanggal",Jadwal!$F$6:$F$255,$B$4,Jadwal!$H$6:$H$255,"&lt;"&amp;$B23,Jadwal!$I$6:$I$255,"&gt;"&amp;$A23,Jadwal!$J$6:$J$255,"&lt;&gt;Dibatalkan")+COUNTIFS(Jadwal!$A$6:$A$255,"&lt;&gt;",Jadwal!$E$6:$E$255,"Rutin",Jadwal!$G$6:$G$255,$D$4,Jadwal!$H$6:$H$255,"&lt;"&amp;$B23,Jadwal!$I$6:$I$255,"&gt;"&amp;$A23,Jadwal!$J$6:$J$255,"&lt;&gt;Dibatalkan")</x:f>
        <x:v>0</x:v>
      </x:c>
      <x:c r="E23" s="88"/>
      <x:c r="F23" s="88"/>
      <x:c r="G23" s="88"/>
      <x:c r="H23" s="88"/>
      <x:c r="I23" s="88"/>
      <x:c r="J23" s="88"/>
      <x:c r="K23" s="88"/>
      <x:c r="L23" s="88"/>
    </x:row>
    <x:row r="24" ht="19" customHeight="1">
      <x:c r="A24" s="62" t="n">
        <x:v>0.5</x:v>
      </x:c>
      <x:c r="B24" s="57" t="n">
        <x:f>A24+TIME(0,30,0)</x:f>
        <x:v>0.5208333333333334</x:v>
      </x:c>
      <x:c r="C24" s="91" t="str">
        <x:f>IF(D24&gt;0,"Terisi","Kosong")</x:f>
        <x:v>Kosong</x:v>
      </x:c>
      <x:c r="D24" s="92" t="n">
        <x:f>COUNTIFS(Jadwal!$A$6:$A$255,"&lt;&gt;",Jadwal!$E$6:$E$255,"Tanggal",Jadwal!$F$6:$F$255,$B$4,Jadwal!$H$6:$H$255,"&lt;"&amp;$B24,Jadwal!$I$6:$I$255,"&gt;"&amp;$A24,Jadwal!$J$6:$J$255,"&lt;&gt;Dibatalkan")+COUNTIFS(Jadwal!$A$6:$A$255,"&lt;&gt;",Jadwal!$E$6:$E$255,"Rutin",Jadwal!$G$6:$G$255,$D$4,Jadwal!$H$6:$H$255,"&lt;"&amp;$B24,Jadwal!$I$6:$I$255,"&gt;"&amp;$A24,Jadwal!$J$6:$J$255,"&lt;&gt;Dibatalkan")</x:f>
        <x:v>0</x:v>
      </x:c>
      <x:c r="E24" s="88"/>
      <x:c r="F24" s="88"/>
      <x:c r="G24" s="88"/>
      <x:c r="H24" s="88"/>
      <x:c r="I24" s="88"/>
      <x:c r="J24" s="88"/>
      <x:c r="K24" s="88"/>
      <x:c r="L24" s="88"/>
    </x:row>
    <x:row r="25" ht="19" customHeight="1">
      <x:c r="A25" s="62" t="n">
        <x:v>0.5208333333333333</x:v>
      </x:c>
      <x:c r="B25" s="57" t="n">
        <x:f>A25+TIME(0,30,0)</x:f>
        <x:v>0.5416666666666666</x:v>
      </x:c>
      <x:c r="C25" s="91" t="str">
        <x:f>IF(D25&gt;0,"Terisi","Kosong")</x:f>
        <x:v>Kosong</x:v>
      </x:c>
      <x:c r="D25" s="92" t="n">
        <x:f>COUNTIFS(Jadwal!$A$6:$A$255,"&lt;&gt;",Jadwal!$E$6:$E$255,"Tanggal",Jadwal!$F$6:$F$255,$B$4,Jadwal!$H$6:$H$255,"&lt;"&amp;$B25,Jadwal!$I$6:$I$255,"&gt;"&amp;$A25,Jadwal!$J$6:$J$255,"&lt;&gt;Dibatalkan")+COUNTIFS(Jadwal!$A$6:$A$255,"&lt;&gt;",Jadwal!$E$6:$E$255,"Rutin",Jadwal!$G$6:$G$255,$D$4,Jadwal!$H$6:$H$255,"&lt;"&amp;$B25,Jadwal!$I$6:$I$255,"&gt;"&amp;$A25,Jadwal!$J$6:$J$255,"&lt;&gt;Dibatalkan")</x:f>
        <x:v>0</x:v>
      </x:c>
      <x:c r="E25" s="88"/>
      <x:c r="F25" s="88"/>
      <x:c r="G25" s="88"/>
      <x:c r="H25" s="88"/>
      <x:c r="I25" s="88"/>
      <x:c r="J25" s="88"/>
      <x:c r="K25" s="88"/>
      <x:c r="L25" s="88"/>
    </x:row>
    <x:row r="26" ht="19" customHeight="1">
      <x:c r="A26" s="62" t="n">
        <x:v>0.5416666666666666</x:v>
      </x:c>
      <x:c r="B26" s="57" t="n">
        <x:f>A26+TIME(0,30,0)</x:f>
        <x:v>0.5625</x:v>
      </x:c>
      <x:c r="C26" s="91" t="str">
        <x:f>IF(D26&gt;0,"Terisi","Kosong")</x:f>
        <x:v>Kosong</x:v>
      </x:c>
      <x:c r="D26" s="92" t="n">
        <x:f>COUNTIFS(Jadwal!$A$6:$A$255,"&lt;&gt;",Jadwal!$E$6:$E$255,"Tanggal",Jadwal!$F$6:$F$255,$B$4,Jadwal!$H$6:$H$255,"&lt;"&amp;$B26,Jadwal!$I$6:$I$255,"&gt;"&amp;$A26,Jadwal!$J$6:$J$255,"&lt;&gt;Dibatalkan")+COUNTIFS(Jadwal!$A$6:$A$255,"&lt;&gt;",Jadwal!$E$6:$E$255,"Rutin",Jadwal!$G$6:$G$255,$D$4,Jadwal!$H$6:$H$255,"&lt;"&amp;$B26,Jadwal!$I$6:$I$255,"&gt;"&amp;$A26,Jadwal!$J$6:$J$255,"&lt;&gt;Dibatalkan")</x:f>
        <x:v>0</x:v>
      </x:c>
      <x:c r="E26" s="88"/>
      <x:c r="F26" s="88"/>
      <x:c r="G26" s="88"/>
      <x:c r="H26" s="88"/>
      <x:c r="I26" s="88"/>
      <x:c r="J26" s="88"/>
      <x:c r="K26" s="88"/>
      <x:c r="L26" s="88"/>
    </x:row>
    <x:row r="27" ht="19" customHeight="1">
      <x:c r="A27" s="62" t="n">
        <x:v>0.5625</x:v>
      </x:c>
      <x:c r="B27" s="57" t="n">
        <x:f>A27+TIME(0,30,0)</x:f>
        <x:v>0.5833333333333334</x:v>
      </x:c>
      <x:c r="C27" s="91" t="str">
        <x:f>IF(D27&gt;0,"Terisi","Kosong")</x:f>
        <x:v>Kosong</x:v>
      </x:c>
      <x:c r="D27" s="92" t="n">
        <x:f>COUNTIFS(Jadwal!$A$6:$A$255,"&lt;&gt;",Jadwal!$E$6:$E$255,"Tanggal",Jadwal!$F$6:$F$255,$B$4,Jadwal!$H$6:$H$255,"&lt;"&amp;$B27,Jadwal!$I$6:$I$255,"&gt;"&amp;$A27,Jadwal!$J$6:$J$255,"&lt;&gt;Dibatalkan")+COUNTIFS(Jadwal!$A$6:$A$255,"&lt;&gt;",Jadwal!$E$6:$E$255,"Rutin",Jadwal!$G$6:$G$255,$D$4,Jadwal!$H$6:$H$255,"&lt;"&amp;$B27,Jadwal!$I$6:$I$255,"&gt;"&amp;$A27,Jadwal!$J$6:$J$255,"&lt;&gt;Dibatalkan")</x:f>
        <x:v>0</x:v>
      </x:c>
      <x:c r="E27" s="88"/>
      <x:c r="F27" s="88"/>
      <x:c r="G27" s="88"/>
      <x:c r="H27" s="88"/>
      <x:c r="I27" s="88"/>
      <x:c r="J27" s="88"/>
      <x:c r="K27" s="88"/>
      <x:c r="L27" s="88"/>
    </x:row>
    <x:row r="28" ht="19" customHeight="1">
      <x:c r="A28" s="62" t="n">
        <x:v>0.5833333333333333</x:v>
      </x:c>
      <x:c r="B28" s="57" t="n">
        <x:f>A28+TIME(0,30,0)</x:f>
        <x:v>0.6041666666666666</x:v>
      </x:c>
      <x:c r="C28" s="91" t="str">
        <x:f>IF(D28&gt;0,"Terisi","Kosong")</x:f>
        <x:v>Kosong</x:v>
      </x:c>
      <x:c r="D28" s="92" t="n">
        <x:f>COUNTIFS(Jadwal!$A$6:$A$255,"&lt;&gt;",Jadwal!$E$6:$E$255,"Tanggal",Jadwal!$F$6:$F$255,$B$4,Jadwal!$H$6:$H$255,"&lt;"&amp;$B28,Jadwal!$I$6:$I$255,"&gt;"&amp;$A28,Jadwal!$J$6:$J$255,"&lt;&gt;Dibatalkan")+COUNTIFS(Jadwal!$A$6:$A$255,"&lt;&gt;",Jadwal!$E$6:$E$255,"Rutin",Jadwal!$G$6:$G$255,$D$4,Jadwal!$H$6:$H$255,"&lt;"&amp;$B28,Jadwal!$I$6:$I$255,"&gt;"&amp;$A28,Jadwal!$J$6:$J$255,"&lt;&gt;Dibatalkan")</x:f>
        <x:v>0</x:v>
      </x:c>
      <x:c r="E28" s="88"/>
      <x:c r="F28" s="88"/>
      <x:c r="G28" s="88"/>
      <x:c r="H28" s="88"/>
      <x:c r="I28" s="88"/>
      <x:c r="J28" s="88"/>
      <x:c r="K28" s="88"/>
      <x:c r="L28" s="88"/>
    </x:row>
    <x:row r="29" ht="19" customHeight="1">
      <x:c r="A29" s="62" t="n">
        <x:v>0.6041666666666666</x:v>
      </x:c>
      <x:c r="B29" s="57" t="n">
        <x:f>A29+TIME(0,30,0)</x:f>
        <x:v>0.625</x:v>
      </x:c>
      <x:c r="C29" s="91" t="str">
        <x:f>IF(D29&gt;0,"Terisi","Kosong")</x:f>
        <x:v>Kosong</x:v>
      </x:c>
      <x:c r="D29" s="92" t="n">
        <x:f>COUNTIFS(Jadwal!$A$6:$A$255,"&lt;&gt;",Jadwal!$E$6:$E$255,"Tanggal",Jadwal!$F$6:$F$255,$B$4,Jadwal!$H$6:$H$255,"&lt;"&amp;$B29,Jadwal!$I$6:$I$255,"&gt;"&amp;$A29,Jadwal!$J$6:$J$255,"&lt;&gt;Dibatalkan")+COUNTIFS(Jadwal!$A$6:$A$255,"&lt;&gt;",Jadwal!$E$6:$E$255,"Rutin",Jadwal!$G$6:$G$255,$D$4,Jadwal!$H$6:$H$255,"&lt;"&amp;$B29,Jadwal!$I$6:$I$255,"&gt;"&amp;$A29,Jadwal!$J$6:$J$255,"&lt;&gt;Dibatalkan")</x:f>
        <x:v>0</x:v>
      </x:c>
      <x:c r="E29" s="88"/>
      <x:c r="F29" s="88"/>
      <x:c r="G29" s="88"/>
      <x:c r="H29" s="88"/>
      <x:c r="I29" s="88"/>
      <x:c r="J29" s="88"/>
      <x:c r="K29" s="88"/>
      <x:c r="L29" s="88"/>
    </x:row>
    <x:row r="30" ht="19" customHeight="1">
      <x:c r="A30" s="62" t="n">
        <x:v>0.625</x:v>
      </x:c>
      <x:c r="B30" s="57" t="n">
        <x:f>A30+TIME(0,30,0)</x:f>
        <x:v>0.6458333333333334</x:v>
      </x:c>
      <x:c r="C30" s="91" t="str">
        <x:f>IF(D30&gt;0,"Terisi","Kosong")</x:f>
        <x:v>Kosong</x:v>
      </x:c>
      <x:c r="D30" s="92" t="n">
        <x:f>COUNTIFS(Jadwal!$A$6:$A$255,"&lt;&gt;",Jadwal!$E$6:$E$255,"Tanggal",Jadwal!$F$6:$F$255,$B$4,Jadwal!$H$6:$H$255,"&lt;"&amp;$B30,Jadwal!$I$6:$I$255,"&gt;"&amp;$A30,Jadwal!$J$6:$J$255,"&lt;&gt;Dibatalkan")+COUNTIFS(Jadwal!$A$6:$A$255,"&lt;&gt;",Jadwal!$E$6:$E$255,"Rutin",Jadwal!$G$6:$G$255,$D$4,Jadwal!$H$6:$H$255,"&lt;"&amp;$B30,Jadwal!$I$6:$I$255,"&gt;"&amp;$A30,Jadwal!$J$6:$J$255,"&lt;&gt;Dibatalkan")</x:f>
        <x:v>0</x:v>
      </x:c>
      <x:c r="E30" s="88"/>
      <x:c r="F30" s="88"/>
      <x:c r="G30" s="88"/>
      <x:c r="H30" s="88"/>
      <x:c r="I30" s="88"/>
      <x:c r="J30" s="88"/>
      <x:c r="K30" s="88"/>
      <x:c r="L30" s="88"/>
    </x:row>
    <x:row r="31" ht="19" customHeight="1">
      <x:c r="A31" s="62" t="n">
        <x:v>0.6458333333333333</x:v>
      </x:c>
      <x:c r="B31" s="57" t="n">
        <x:f>A31+TIME(0,30,0)</x:f>
        <x:v>0.6666666666666666</x:v>
      </x:c>
      <x:c r="C31" s="91" t="str">
        <x:f>IF(D31&gt;0,"Terisi","Kosong")</x:f>
        <x:v>Kosong</x:v>
      </x:c>
      <x:c r="D31" s="92" t="n">
        <x:f>COUNTIFS(Jadwal!$A$6:$A$255,"&lt;&gt;",Jadwal!$E$6:$E$255,"Tanggal",Jadwal!$F$6:$F$255,$B$4,Jadwal!$H$6:$H$255,"&lt;"&amp;$B31,Jadwal!$I$6:$I$255,"&gt;"&amp;$A31,Jadwal!$J$6:$J$255,"&lt;&gt;Dibatalkan")+COUNTIFS(Jadwal!$A$6:$A$255,"&lt;&gt;",Jadwal!$E$6:$E$255,"Rutin",Jadwal!$G$6:$G$255,$D$4,Jadwal!$H$6:$H$255,"&lt;"&amp;$B31,Jadwal!$I$6:$I$255,"&gt;"&amp;$A31,Jadwal!$J$6:$J$255,"&lt;&gt;Dibatalkan")</x:f>
        <x:v>0</x:v>
      </x:c>
      <x:c r="E31" s="88"/>
      <x:c r="F31" s="88"/>
      <x:c r="G31" s="88"/>
      <x:c r="H31" s="88"/>
      <x:c r="I31" s="88"/>
      <x:c r="J31" s="88"/>
      <x:c r="K31" s="88"/>
      <x:c r="L31" s="88"/>
    </x:row>
    <x:row r="32" ht="19" customHeight="1">
      <x:c r="A32" s="62" t="n">
        <x:v>0.6666666666666666</x:v>
      </x:c>
      <x:c r="B32" s="57" t="n">
        <x:f>A32+TIME(0,30,0)</x:f>
        <x:v>0.6875</x:v>
      </x:c>
      <x:c r="C32" s="91" t="str">
        <x:f>IF(D32&gt;0,"Terisi","Kosong")</x:f>
        <x:v>Kosong</x:v>
      </x:c>
      <x:c r="D32" s="92" t="n">
        <x:f>COUNTIFS(Jadwal!$A$6:$A$255,"&lt;&gt;",Jadwal!$E$6:$E$255,"Tanggal",Jadwal!$F$6:$F$255,$B$4,Jadwal!$H$6:$H$255,"&lt;"&amp;$B32,Jadwal!$I$6:$I$255,"&gt;"&amp;$A32,Jadwal!$J$6:$J$255,"&lt;&gt;Dibatalkan")+COUNTIFS(Jadwal!$A$6:$A$255,"&lt;&gt;",Jadwal!$E$6:$E$255,"Rutin",Jadwal!$G$6:$G$255,$D$4,Jadwal!$H$6:$H$255,"&lt;"&amp;$B32,Jadwal!$I$6:$I$255,"&gt;"&amp;$A32,Jadwal!$J$6:$J$255,"&lt;&gt;Dibatalkan")</x:f>
        <x:v>0</x:v>
      </x:c>
      <x:c r="E32" s="88"/>
      <x:c r="F32" s="86" t="str">
        <x:v>Status Slot</x:v>
      </x:c>
      <x:c r="G32" s="87" t="str">
        <x:v>Jumlah</x:v>
      </x:c>
      <x:c r="H32" s="88"/>
      <x:c r="I32" s="88"/>
      <x:c r="J32" s="88"/>
      <x:c r="K32" s="88"/>
      <x:c r="L32" s="88"/>
    </x:row>
    <x:row r="33" ht="19" customHeight="1">
      <x:c r="A33" s="62" t="n">
        <x:v>0.6875</x:v>
      </x:c>
      <x:c r="B33" s="57" t="n">
        <x:f>A33+TIME(0,30,0)</x:f>
        <x:v>0.7083333333333334</x:v>
      </x:c>
      <x:c r="C33" s="91" t="str">
        <x:f>IF(D33&gt;0,"Terisi","Kosong")</x:f>
        <x:v>Kosong</x:v>
      </x:c>
      <x:c r="D33" s="92" t="n">
        <x:f>COUNTIFS(Jadwal!$A$6:$A$255,"&lt;&gt;",Jadwal!$E$6:$E$255,"Tanggal",Jadwal!$F$6:$F$255,$B$4,Jadwal!$H$6:$H$255,"&lt;"&amp;$B33,Jadwal!$I$6:$I$255,"&gt;"&amp;$A33,Jadwal!$J$6:$J$255,"&lt;&gt;Dibatalkan")+COUNTIFS(Jadwal!$A$6:$A$255,"&lt;&gt;",Jadwal!$E$6:$E$255,"Rutin",Jadwal!$G$6:$G$255,$D$4,Jadwal!$H$6:$H$255,"&lt;"&amp;$B33,Jadwal!$I$6:$I$255,"&gt;"&amp;$A33,Jadwal!$J$6:$J$255,"&lt;&gt;Dibatalkan")</x:f>
        <x:v>0</x:v>
      </x:c>
      <x:c r="E33" s="88"/>
      <x:c r="F33" s="78" t="str">
        <x:v>Terisi</x:v>
      </x:c>
      <x:c r="G33" s="79" t="n">
        <x:f>COUNTIF($C$16:$C$39,"Terisi")</x:f>
        <x:v>0</x:v>
      </x:c>
      <x:c r="H33" s="88"/>
      <x:c r="I33" s="88"/>
      <x:c r="J33" s="88"/>
      <x:c r="K33" s="88"/>
      <x:c r="L33" s="88"/>
    </x:row>
    <x:row r="34" ht="19" customHeight="1">
      <x:c r="A34" s="62" t="n">
        <x:v>0.7083333333333333</x:v>
      </x:c>
      <x:c r="B34" s="57" t="n">
        <x:f>A34+TIME(0,30,0)</x:f>
        <x:v>0.7291666666666666</x:v>
      </x:c>
      <x:c r="C34" s="91" t="str">
        <x:f>IF(D34&gt;0,"Terisi","Kosong")</x:f>
        <x:v>Kosong</x:v>
      </x:c>
      <x:c r="D34" s="92" t="n">
        <x:f>COUNTIFS(Jadwal!$A$6:$A$255,"&lt;&gt;",Jadwal!$E$6:$E$255,"Tanggal",Jadwal!$F$6:$F$255,$B$4,Jadwal!$H$6:$H$255,"&lt;"&amp;$B34,Jadwal!$I$6:$I$255,"&gt;"&amp;$A34,Jadwal!$J$6:$J$255,"&lt;&gt;Dibatalkan")+COUNTIFS(Jadwal!$A$6:$A$255,"&lt;&gt;",Jadwal!$E$6:$E$255,"Rutin",Jadwal!$G$6:$G$255,$D$4,Jadwal!$H$6:$H$255,"&lt;"&amp;$B34,Jadwal!$I$6:$I$255,"&gt;"&amp;$A34,Jadwal!$J$6:$J$255,"&lt;&gt;Dibatalkan")</x:f>
        <x:v>0</x:v>
      </x:c>
      <x:c r="E34" s="88"/>
      <x:c r="F34" s="80" t="str">
        <x:v>Tersedia</x:v>
      </x:c>
      <x:c r="G34" s="81" t="n">
        <x:f>24-G33</x:f>
        <x:v>24</x:v>
      </x:c>
      <x:c r="H34" s="88"/>
      <x:c r="I34" s="88"/>
      <x:c r="J34" s="88"/>
      <x:c r="K34" s="88"/>
      <x:c r="L34" s="88"/>
    </x:row>
    <x:row r="35" ht="19" customHeight="1">
      <x:c r="A35" s="62" t="n">
        <x:v>0.7291666666666666</x:v>
      </x:c>
      <x:c r="B35" s="57" t="n">
        <x:f>A35+TIME(0,30,0)</x:f>
        <x:v>0.75</x:v>
      </x:c>
      <x:c r="C35" s="91" t="str">
        <x:f>IF(D35&gt;0,"Terisi","Kosong")</x:f>
        <x:v>Kosong</x:v>
      </x:c>
      <x:c r="D35" s="92" t="n">
        <x:f>COUNTIFS(Jadwal!$A$6:$A$255,"&lt;&gt;",Jadwal!$E$6:$E$255,"Tanggal",Jadwal!$F$6:$F$255,$B$4,Jadwal!$H$6:$H$255,"&lt;"&amp;$B35,Jadwal!$I$6:$I$255,"&gt;"&amp;$A35,Jadwal!$J$6:$J$255,"&lt;&gt;Dibatalkan")+COUNTIFS(Jadwal!$A$6:$A$255,"&lt;&gt;",Jadwal!$E$6:$E$255,"Rutin",Jadwal!$G$6:$G$255,$D$4,Jadwal!$H$6:$H$255,"&lt;"&amp;$B35,Jadwal!$I$6:$I$255,"&gt;"&amp;$A35,Jadwal!$J$6:$J$255,"&lt;&gt;Dibatalkan")</x:f>
        <x:v>0</x:v>
      </x:c>
      <x:c r="E35" s="88"/>
      <x:c r="F35" s="88"/>
      <x:c r="G35" s="88"/>
      <x:c r="H35" s="88"/>
      <x:c r="I35" s="88"/>
      <x:c r="J35" s="88"/>
      <x:c r="K35" s="88"/>
      <x:c r="L35" s="88"/>
    </x:row>
    <x:row r="36" ht="19" customHeight="1">
      <x:c r="A36" s="62" t="n">
        <x:v>0.75</x:v>
      </x:c>
      <x:c r="B36" s="57" t="n">
        <x:f>A36+TIME(0,30,0)</x:f>
        <x:v>0.7708333333333334</x:v>
      </x:c>
      <x:c r="C36" s="91" t="str">
        <x:f>IF(D36&gt;0,"Terisi","Kosong")</x:f>
        <x:v>Kosong</x:v>
      </x:c>
      <x:c r="D36" s="92" t="n">
        <x:f>COUNTIFS(Jadwal!$A$6:$A$255,"&lt;&gt;",Jadwal!$E$6:$E$255,"Tanggal",Jadwal!$F$6:$F$255,$B$4,Jadwal!$H$6:$H$255,"&lt;"&amp;$B36,Jadwal!$I$6:$I$255,"&gt;"&amp;$A36,Jadwal!$J$6:$J$255,"&lt;&gt;Dibatalkan")+COUNTIFS(Jadwal!$A$6:$A$255,"&lt;&gt;",Jadwal!$E$6:$E$255,"Rutin",Jadwal!$G$6:$G$255,$D$4,Jadwal!$H$6:$H$255,"&lt;"&amp;$B36,Jadwal!$I$6:$I$255,"&gt;"&amp;$A36,Jadwal!$J$6:$J$255,"&lt;&gt;Dibatalkan")</x:f>
        <x:v>0</x:v>
      </x:c>
      <x:c r="E36" s="88"/>
      <x:c r="F36" s="88"/>
      <x:c r="G36" s="88"/>
      <x:c r="H36" s="88"/>
      <x:c r="I36" s="88"/>
      <x:c r="J36" s="88"/>
      <x:c r="K36" s="88"/>
      <x:c r="L36" s="88"/>
    </x:row>
    <x:row r="37" ht="19" customHeight="1">
      <x:c r="A37" s="62" t="n">
        <x:v>0.7708333333333333</x:v>
      </x:c>
      <x:c r="B37" s="57" t="n">
        <x:f>A37+TIME(0,30,0)</x:f>
        <x:v>0.7916666666666666</x:v>
      </x:c>
      <x:c r="C37" s="91" t="str">
        <x:f>IF(D37&gt;0,"Terisi","Kosong")</x:f>
        <x:v>Kosong</x:v>
      </x:c>
      <x:c r="D37" s="92" t="n">
        <x:f>COUNTIFS(Jadwal!$A$6:$A$255,"&lt;&gt;",Jadwal!$E$6:$E$255,"Tanggal",Jadwal!$F$6:$F$255,$B$4,Jadwal!$H$6:$H$255,"&lt;"&amp;$B37,Jadwal!$I$6:$I$255,"&gt;"&amp;$A37,Jadwal!$J$6:$J$255,"&lt;&gt;Dibatalkan")+COUNTIFS(Jadwal!$A$6:$A$255,"&lt;&gt;",Jadwal!$E$6:$E$255,"Rutin",Jadwal!$G$6:$G$255,$D$4,Jadwal!$H$6:$H$255,"&lt;"&amp;$B37,Jadwal!$I$6:$I$255,"&gt;"&amp;$A37,Jadwal!$J$6:$J$255,"&lt;&gt;Dibatalkan")</x:f>
        <x:v>0</x:v>
      </x:c>
      <x:c r="E37" s="88"/>
      <x:c r="F37" s="88"/>
      <x:c r="G37" s="88"/>
      <x:c r="H37" s="88"/>
      <x:c r="I37" s="88"/>
      <x:c r="J37" s="88"/>
      <x:c r="K37" s="88"/>
      <x:c r="L37" s="88"/>
    </x:row>
    <x:row r="38" ht="19" customHeight="1">
      <x:c r="A38" s="62" t="n">
        <x:v>0.7916666666666666</x:v>
      </x:c>
      <x:c r="B38" s="57" t="n">
        <x:f>A38+TIME(0,30,0)</x:f>
        <x:v>0.8125</x:v>
      </x:c>
      <x:c r="C38" s="91" t="str">
        <x:f>IF(D38&gt;0,"Terisi","Kosong")</x:f>
        <x:v>Kosong</x:v>
      </x:c>
      <x:c r="D38" s="92" t="n">
        <x:f>COUNTIFS(Jadwal!$A$6:$A$255,"&lt;&gt;",Jadwal!$E$6:$E$255,"Tanggal",Jadwal!$F$6:$F$255,$B$4,Jadwal!$H$6:$H$255,"&lt;"&amp;$B38,Jadwal!$I$6:$I$255,"&gt;"&amp;$A38,Jadwal!$J$6:$J$255,"&lt;&gt;Dibatalkan")+COUNTIFS(Jadwal!$A$6:$A$255,"&lt;&gt;",Jadwal!$E$6:$E$255,"Rutin",Jadwal!$G$6:$G$255,$D$4,Jadwal!$H$6:$H$255,"&lt;"&amp;$B38,Jadwal!$I$6:$I$255,"&gt;"&amp;$A38,Jadwal!$J$6:$J$255,"&lt;&gt;Dibatalkan")</x:f>
        <x:v>0</x:v>
      </x:c>
      <x:c r="E38" s="88"/>
      <x:c r="F38" s="88"/>
      <x:c r="G38" s="88"/>
      <x:c r="H38" s="88"/>
      <x:c r="I38" s="88"/>
      <x:c r="J38" s="88"/>
      <x:c r="K38" s="88"/>
      <x:c r="L38" s="88"/>
    </x:row>
    <x:row r="39" ht="19" customHeight="1">
      <x:c r="A39" s="65" t="n">
        <x:v>0.8125</x:v>
      </x:c>
      <x:c r="B39" s="66" t="n">
        <x:f>A39+TIME(0,30,0)</x:f>
        <x:v>0.8333333333333334</x:v>
      </x:c>
      <x:c r="C39" s="93" t="str">
        <x:f>IF(D39&gt;0,"Terisi","Kosong")</x:f>
        <x:v>Kosong</x:v>
      </x:c>
      <x:c r="D39" s="94" t="n">
        <x:f>COUNTIFS(Jadwal!$A$6:$A$255,"&lt;&gt;",Jadwal!$E$6:$E$255,"Tanggal",Jadwal!$F$6:$F$255,$B$4,Jadwal!$H$6:$H$255,"&lt;"&amp;$B39,Jadwal!$I$6:$I$255,"&gt;"&amp;$A39,Jadwal!$J$6:$J$255,"&lt;&gt;Dibatalkan")+COUNTIFS(Jadwal!$A$6:$A$255,"&lt;&gt;",Jadwal!$E$6:$E$255,"Rutin",Jadwal!$G$6:$G$255,$D$4,Jadwal!$H$6:$H$255,"&lt;"&amp;$B39,Jadwal!$I$6:$I$255,"&gt;"&amp;$A39,Jadwal!$J$6:$J$255,"&lt;&gt;Dibatalkan")</x:f>
        <x:v>0</x:v>
      </x:c>
      <x:c r="E39" s="88"/>
      <x:c r="F39" s="88"/>
      <x:c r="G39" s="88"/>
      <x:c r="H39" s="88"/>
      <x:c r="I39" s="88"/>
      <x:c r="J39" s="88"/>
      <x:c r="K39" s="88"/>
      <x:c r="L39" s="88"/>
    </x:row>
  </x:sheetData>
  <x:mergeCells>
    <x:mergeCell ref="A1:L1"/>
    <x:mergeCell ref="A2:L2"/>
    <x:mergeCell ref="A9:H9"/>
    <x:mergeCell ref="A11:H11"/>
    <x:mergeCell ref="A14:D14"/>
  </x:mergeCells>
  <x:conditionalFormatting sqref="C16:C39">
    <x:cfRule type="containsText" dxfId="0" priority="1" operator="containsText" text="Terisi"/>
    <x:cfRule type="containsText" dxfId="1" priority="2" operator="containsText" text="Kosong"/>
  </x:conditionalFormatting>
  <x:conditionalFormatting sqref="H10:H10">
    <x:cfRule type="containsText" dxfId="2" priority="3" operator="containsText" text="BENTROK"/>
    <x:cfRule type="containsText" dxfId="3" priority="4" operator="containsText" text="TERSEDIA"/>
  </x:conditionalFormatting>
  <x:pageMargins left="0.7" right="0.7" top="0.75" bottom="0.75" header="0.3" footer="0.3"/>
  <x:drawing xmlns:r="http://schemas.openxmlformats.org/officeDocument/2006/relationships" r:id="Radbb7d67b18240bc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20" hidden="0" customWidth="1"/>
    <x:col min="4" max="4" width="19" hidden="0" customWidth="1"/>
    <x:col min="5" max="5" width="12" hidden="0" customWidth="1"/>
    <x:col min="6" max="6" width="16" hidden="0" customWidth="1"/>
    <x:col min="7" max="7" width="15" hidden="0" customWidth="1"/>
    <x:col min="8" max="8" width="12" hidden="0" customWidth="1"/>
    <x:col min="9" max="9" width="12" hidden="0" customWidth="1"/>
    <x:col min="10" max="10" width="17" hidden="0" customWidth="1"/>
    <x:col min="11" max="11" width="34" hidden="0" customWidth="1"/>
    <x:col min="12" max="12" width="17" hidden="0" customWidth="1"/>
    <x:col min="13" max="13" width="15" hidden="0" customWidth="1"/>
    <x:col min="14" max="14" width="30" hidden="0" customWidth="1"/>
  </x:cols>
  <x:sheetData>
    <x:row r="1" ht="30" customHeight="1">
      <x:c r="A1" s="3" t="str">
        <x:v>DAFTAR JADWAL ZOOM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Masukkan satu jadwal per baris. Pilih Jenis: Tanggal atau Rutin; jadwal berstatus Dibatalkan tidak dihitung sebagai bentrok.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 ht="34" customHeight="1">
      <x:c r="A5" s="103" t="str">
        <x:v>Nama Kegiatan</x:v>
      </x:c>
      <x:c r="B5" s="104" t="str">
        <x:v>Divisi</x:v>
      </x:c>
      <x:c r="C5" s="104" t="str">
        <x:v>Nama PIC</x:v>
      </x:c>
      <x:c r="D5" s="104" t="str">
        <x:v>Kontak PIC</x:v>
      </x:c>
      <x:c r="E5" s="104" t="str">
        <x:v>Jenis</x:v>
      </x:c>
      <x:c r="F5" s="104" t="str">
        <x:v>Tanggal</x:v>
      </x:c>
      <x:c r="G5" s="104" t="str">
        <x:v>Hari Rutin</x:v>
      </x:c>
      <x:c r="H5" s="104" t="str">
        <x:v>Mulai</x:v>
      </x:c>
      <x:c r="I5" s="104" t="str">
        <x:v>Selesai</x:v>
      </x:c>
      <x:c r="J5" s="104" t="str">
        <x:v>Status</x:v>
      </x:c>
      <x:c r="K5" s="104" t="str">
        <x:v>Link Zoom</x:v>
      </x:c>
      <x:c r="L5" s="104" t="str">
        <x:v>Zoom ID</x:v>
      </x:c>
      <x:c r="M5" s="104" t="str">
        <x:v>Passcode</x:v>
      </x:c>
      <x:c r="N5" s="105" t="str">
        <x:v>Catatan</x:v>
      </x:c>
    </x:row>
    <x:row r="6">
      <x:c r="A6" s="106"/>
      <x:c r="B6" s="119"/>
      <x:c r="C6" s="107"/>
      <x:c r="D6" s="107"/>
      <x:c r="E6" s="119"/>
      <x:c r="F6" s="122"/>
      <x:c r="G6" s="119"/>
      <x:c r="H6" s="125"/>
      <x:c r="I6" s="125"/>
      <x:c r="J6" s="119"/>
      <x:c r="K6" s="107"/>
      <x:c r="L6" s="107"/>
      <x:c r="M6" s="107"/>
      <x:c r="N6" s="108"/>
    </x:row>
    <x:row r="7">
      <x:c r="A7" s="109"/>
      <x:c r="B7" s="120"/>
      <x:c r="C7" s="55"/>
      <x:c r="D7" s="55"/>
      <x:c r="E7" s="120"/>
      <x:c r="F7" s="123"/>
      <x:c r="G7" s="120"/>
      <x:c r="H7" s="57"/>
      <x:c r="I7" s="57"/>
      <x:c r="J7" s="120"/>
      <x:c r="K7" s="55"/>
      <x:c r="L7" s="55"/>
      <x:c r="M7" s="55"/>
      <x:c r="N7" s="110"/>
    </x:row>
    <x:row r="8">
      <x:c r="A8" s="109"/>
      <x:c r="B8" s="120"/>
      <x:c r="C8" s="55"/>
      <x:c r="D8" s="55"/>
      <x:c r="E8" s="120"/>
      <x:c r="F8" s="123"/>
      <x:c r="G8" s="120"/>
      <x:c r="H8" s="57"/>
      <x:c r="I8" s="57"/>
      <x:c r="J8" s="120"/>
      <x:c r="K8" s="55"/>
      <x:c r="L8" s="55"/>
      <x:c r="M8" s="55"/>
      <x:c r="N8" s="110"/>
    </x:row>
    <x:row r="9">
      <x:c r="A9" s="109"/>
      <x:c r="B9" s="120"/>
      <x:c r="C9" s="55"/>
      <x:c r="D9" s="55"/>
      <x:c r="E9" s="120"/>
      <x:c r="F9" s="123"/>
      <x:c r="G9" s="120"/>
      <x:c r="H9" s="57"/>
      <x:c r="I9" s="57"/>
      <x:c r="J9" s="120"/>
      <x:c r="K9" s="55"/>
      <x:c r="L9" s="55"/>
      <x:c r="M9" s="55"/>
      <x:c r="N9" s="110"/>
    </x:row>
    <x:row r="10">
      <x:c r="A10" s="109"/>
      <x:c r="B10" s="120"/>
      <x:c r="C10" s="55"/>
      <x:c r="D10" s="55"/>
      <x:c r="E10" s="120"/>
      <x:c r="F10" s="123"/>
      <x:c r="G10" s="120"/>
      <x:c r="H10" s="57"/>
      <x:c r="I10" s="57"/>
      <x:c r="J10" s="120"/>
      <x:c r="K10" s="55"/>
      <x:c r="L10" s="55"/>
      <x:c r="M10" s="55"/>
      <x:c r="N10" s="110"/>
    </x:row>
    <x:row r="11">
      <x:c r="A11" s="109"/>
      <x:c r="B11" s="120"/>
      <x:c r="C11" s="55"/>
      <x:c r="D11" s="55"/>
      <x:c r="E11" s="120"/>
      <x:c r="F11" s="123"/>
      <x:c r="G11" s="120"/>
      <x:c r="H11" s="57"/>
      <x:c r="I11" s="57"/>
      <x:c r="J11" s="120"/>
      <x:c r="K11" s="55"/>
      <x:c r="L11" s="55"/>
      <x:c r="M11" s="55"/>
      <x:c r="N11" s="110"/>
    </x:row>
    <x:row r="12">
      <x:c r="A12" s="109"/>
      <x:c r="B12" s="120"/>
      <x:c r="C12" s="55"/>
      <x:c r="D12" s="55"/>
      <x:c r="E12" s="120"/>
      <x:c r="F12" s="123"/>
      <x:c r="G12" s="120"/>
      <x:c r="H12" s="57"/>
      <x:c r="I12" s="57"/>
      <x:c r="J12" s="120"/>
      <x:c r="K12" s="55"/>
      <x:c r="L12" s="55"/>
      <x:c r="M12" s="55"/>
      <x:c r="N12" s="110"/>
    </x:row>
    <x:row r="13">
      <x:c r="A13" s="109"/>
      <x:c r="B13" s="120"/>
      <x:c r="C13" s="55"/>
      <x:c r="D13" s="55"/>
      <x:c r="E13" s="120"/>
      <x:c r="F13" s="123"/>
      <x:c r="G13" s="120"/>
      <x:c r="H13" s="57"/>
      <x:c r="I13" s="57"/>
      <x:c r="J13" s="120"/>
      <x:c r="K13" s="55"/>
      <x:c r="L13" s="55"/>
      <x:c r="M13" s="55"/>
      <x:c r="N13" s="110"/>
    </x:row>
    <x:row r="14">
      <x:c r="A14" s="109"/>
      <x:c r="B14" s="120"/>
      <x:c r="C14" s="55"/>
      <x:c r="D14" s="55"/>
      <x:c r="E14" s="120"/>
      <x:c r="F14" s="123"/>
      <x:c r="G14" s="120"/>
      <x:c r="H14" s="57"/>
      <x:c r="I14" s="57"/>
      <x:c r="J14" s="120"/>
      <x:c r="K14" s="55"/>
      <x:c r="L14" s="55"/>
      <x:c r="M14" s="55"/>
      <x:c r="N14" s="110"/>
    </x:row>
    <x:row r="15">
      <x:c r="A15" s="109"/>
      <x:c r="B15" s="120"/>
      <x:c r="C15" s="55"/>
      <x:c r="D15" s="55"/>
      <x:c r="E15" s="120"/>
      <x:c r="F15" s="123"/>
      <x:c r="G15" s="120"/>
      <x:c r="H15" s="57"/>
      <x:c r="I15" s="57"/>
      <x:c r="J15" s="120"/>
      <x:c r="K15" s="55"/>
      <x:c r="L15" s="55"/>
      <x:c r="M15" s="55"/>
      <x:c r="N15" s="110"/>
    </x:row>
    <x:row r="16">
      <x:c r="A16" s="109"/>
      <x:c r="B16" s="120"/>
      <x:c r="C16" s="55"/>
      <x:c r="D16" s="55"/>
      <x:c r="E16" s="120"/>
      <x:c r="F16" s="123"/>
      <x:c r="G16" s="120"/>
      <x:c r="H16" s="57"/>
      <x:c r="I16" s="57"/>
      <x:c r="J16" s="120"/>
      <x:c r="K16" s="55"/>
      <x:c r="L16" s="55"/>
      <x:c r="M16" s="55"/>
      <x:c r="N16" s="110"/>
    </x:row>
    <x:row r="17">
      <x:c r="A17" s="109"/>
      <x:c r="B17" s="120"/>
      <x:c r="C17" s="55"/>
      <x:c r="D17" s="55"/>
      <x:c r="E17" s="120"/>
      <x:c r="F17" s="123"/>
      <x:c r="G17" s="120"/>
      <x:c r="H17" s="57"/>
      <x:c r="I17" s="57"/>
      <x:c r="J17" s="120"/>
      <x:c r="K17" s="55"/>
      <x:c r="L17" s="55"/>
      <x:c r="M17" s="55"/>
      <x:c r="N17" s="110"/>
    </x:row>
    <x:row r="18">
      <x:c r="A18" s="109"/>
      <x:c r="B18" s="120"/>
      <x:c r="C18" s="55"/>
      <x:c r="D18" s="55"/>
      <x:c r="E18" s="120"/>
      <x:c r="F18" s="123"/>
      <x:c r="G18" s="120"/>
      <x:c r="H18" s="57"/>
      <x:c r="I18" s="57"/>
      <x:c r="J18" s="120"/>
      <x:c r="K18" s="55"/>
      <x:c r="L18" s="55"/>
      <x:c r="M18" s="55"/>
      <x:c r="N18" s="110"/>
    </x:row>
    <x:row r="19">
      <x:c r="A19" s="109"/>
      <x:c r="B19" s="120"/>
      <x:c r="C19" s="55"/>
      <x:c r="D19" s="55"/>
      <x:c r="E19" s="120"/>
      <x:c r="F19" s="123"/>
      <x:c r="G19" s="120"/>
      <x:c r="H19" s="57"/>
      <x:c r="I19" s="57"/>
      <x:c r="J19" s="120"/>
      <x:c r="K19" s="55"/>
      <x:c r="L19" s="55"/>
      <x:c r="M19" s="55"/>
      <x:c r="N19" s="110"/>
    </x:row>
    <x:row r="20">
      <x:c r="A20" s="109"/>
      <x:c r="B20" s="120"/>
      <x:c r="C20" s="55"/>
      <x:c r="D20" s="55"/>
      <x:c r="E20" s="120"/>
      <x:c r="F20" s="123"/>
      <x:c r="G20" s="120"/>
      <x:c r="H20" s="57"/>
      <x:c r="I20" s="57"/>
      <x:c r="J20" s="120"/>
      <x:c r="K20" s="55"/>
      <x:c r="L20" s="55"/>
      <x:c r="M20" s="55"/>
      <x:c r="N20" s="110"/>
    </x:row>
    <x:row r="21">
      <x:c r="A21" s="109"/>
      <x:c r="B21" s="120"/>
      <x:c r="C21" s="55"/>
      <x:c r="D21" s="55"/>
      <x:c r="E21" s="120"/>
      <x:c r="F21" s="123"/>
      <x:c r="G21" s="120"/>
      <x:c r="H21" s="57"/>
      <x:c r="I21" s="57"/>
      <x:c r="J21" s="120"/>
      <x:c r="K21" s="55"/>
      <x:c r="L21" s="55"/>
      <x:c r="M21" s="55"/>
      <x:c r="N21" s="110"/>
    </x:row>
    <x:row r="22">
      <x:c r="A22" s="109"/>
      <x:c r="B22" s="120"/>
      <x:c r="C22" s="55"/>
      <x:c r="D22" s="55"/>
      <x:c r="E22" s="120"/>
      <x:c r="F22" s="123"/>
      <x:c r="G22" s="120"/>
      <x:c r="H22" s="57"/>
      <x:c r="I22" s="57"/>
      <x:c r="J22" s="120"/>
      <x:c r="K22" s="55"/>
      <x:c r="L22" s="55"/>
      <x:c r="M22" s="55"/>
      <x:c r="N22" s="110"/>
    </x:row>
    <x:row r="23">
      <x:c r="A23" s="109"/>
      <x:c r="B23" s="120"/>
      <x:c r="C23" s="55"/>
      <x:c r="D23" s="55"/>
      <x:c r="E23" s="120"/>
      <x:c r="F23" s="123"/>
      <x:c r="G23" s="120"/>
      <x:c r="H23" s="57"/>
      <x:c r="I23" s="57"/>
      <x:c r="J23" s="120"/>
      <x:c r="K23" s="55"/>
      <x:c r="L23" s="55"/>
      <x:c r="M23" s="55"/>
      <x:c r="N23" s="110"/>
    </x:row>
    <x:row r="24">
      <x:c r="A24" s="109"/>
      <x:c r="B24" s="120"/>
      <x:c r="C24" s="55"/>
      <x:c r="D24" s="55"/>
      <x:c r="E24" s="120"/>
      <x:c r="F24" s="123"/>
      <x:c r="G24" s="120"/>
      <x:c r="H24" s="57"/>
      <x:c r="I24" s="57"/>
      <x:c r="J24" s="120"/>
      <x:c r="K24" s="55"/>
      <x:c r="L24" s="55"/>
      <x:c r="M24" s="55"/>
      <x:c r="N24" s="110"/>
    </x:row>
    <x:row r="25">
      <x:c r="A25" s="109"/>
      <x:c r="B25" s="120"/>
      <x:c r="C25" s="55"/>
      <x:c r="D25" s="55"/>
      <x:c r="E25" s="120"/>
      <x:c r="F25" s="123"/>
      <x:c r="G25" s="120"/>
      <x:c r="H25" s="57"/>
      <x:c r="I25" s="57"/>
      <x:c r="J25" s="120"/>
      <x:c r="K25" s="55"/>
      <x:c r="L25" s="55"/>
      <x:c r="M25" s="55"/>
      <x:c r="N25" s="110"/>
    </x:row>
    <x:row r="26">
      <x:c r="A26" s="109"/>
      <x:c r="B26" s="120"/>
      <x:c r="C26" s="55"/>
      <x:c r="D26" s="55"/>
      <x:c r="E26" s="120"/>
      <x:c r="F26" s="123"/>
      <x:c r="G26" s="120"/>
      <x:c r="H26" s="57"/>
      <x:c r="I26" s="57"/>
      <x:c r="J26" s="120"/>
      <x:c r="K26" s="55"/>
      <x:c r="L26" s="55"/>
      <x:c r="M26" s="55"/>
      <x:c r="N26" s="110"/>
    </x:row>
    <x:row r="27">
      <x:c r="A27" s="109"/>
      <x:c r="B27" s="120"/>
      <x:c r="C27" s="55"/>
      <x:c r="D27" s="55"/>
      <x:c r="E27" s="120"/>
      <x:c r="F27" s="123"/>
      <x:c r="G27" s="120"/>
      <x:c r="H27" s="57"/>
      <x:c r="I27" s="57"/>
      <x:c r="J27" s="120"/>
      <x:c r="K27" s="55"/>
      <x:c r="L27" s="55"/>
      <x:c r="M27" s="55"/>
      <x:c r="N27" s="110"/>
    </x:row>
    <x:row r="28">
      <x:c r="A28" s="109"/>
      <x:c r="B28" s="120"/>
      <x:c r="C28" s="55"/>
      <x:c r="D28" s="55"/>
      <x:c r="E28" s="120"/>
      <x:c r="F28" s="123"/>
      <x:c r="G28" s="120"/>
      <x:c r="H28" s="57"/>
      <x:c r="I28" s="57"/>
      <x:c r="J28" s="120"/>
      <x:c r="K28" s="55"/>
      <x:c r="L28" s="55"/>
      <x:c r="M28" s="55"/>
      <x:c r="N28" s="110"/>
    </x:row>
    <x:row r="29">
      <x:c r="A29" s="109"/>
      <x:c r="B29" s="120"/>
      <x:c r="C29" s="55"/>
      <x:c r="D29" s="55"/>
      <x:c r="E29" s="120"/>
      <x:c r="F29" s="123"/>
      <x:c r="G29" s="120"/>
      <x:c r="H29" s="57"/>
      <x:c r="I29" s="57"/>
      <x:c r="J29" s="120"/>
      <x:c r="K29" s="55"/>
      <x:c r="L29" s="55"/>
      <x:c r="M29" s="55"/>
      <x:c r="N29" s="110"/>
    </x:row>
    <x:row r="30">
      <x:c r="A30" s="109"/>
      <x:c r="B30" s="120"/>
      <x:c r="C30" s="55"/>
      <x:c r="D30" s="55"/>
      <x:c r="E30" s="120"/>
      <x:c r="F30" s="123"/>
      <x:c r="G30" s="120"/>
      <x:c r="H30" s="57"/>
      <x:c r="I30" s="57"/>
      <x:c r="J30" s="120"/>
      <x:c r="K30" s="55"/>
      <x:c r="L30" s="55"/>
      <x:c r="M30" s="55"/>
      <x:c r="N30" s="110"/>
    </x:row>
    <x:row r="31">
      <x:c r="A31" s="109"/>
      <x:c r="B31" s="120"/>
      <x:c r="C31" s="55"/>
      <x:c r="D31" s="55"/>
      <x:c r="E31" s="120"/>
      <x:c r="F31" s="123"/>
      <x:c r="G31" s="120"/>
      <x:c r="H31" s="57"/>
      <x:c r="I31" s="57"/>
      <x:c r="J31" s="120"/>
      <x:c r="K31" s="55"/>
      <x:c r="L31" s="55"/>
      <x:c r="M31" s="55"/>
      <x:c r="N31" s="110"/>
    </x:row>
    <x:row r="32">
      <x:c r="A32" s="109"/>
      <x:c r="B32" s="120"/>
      <x:c r="C32" s="55"/>
      <x:c r="D32" s="55"/>
      <x:c r="E32" s="120"/>
      <x:c r="F32" s="123"/>
      <x:c r="G32" s="120"/>
      <x:c r="H32" s="57"/>
      <x:c r="I32" s="57"/>
      <x:c r="J32" s="120"/>
      <x:c r="K32" s="55"/>
      <x:c r="L32" s="55"/>
      <x:c r="M32" s="55"/>
      <x:c r="N32" s="110"/>
    </x:row>
    <x:row r="33">
      <x:c r="A33" s="109"/>
      <x:c r="B33" s="120"/>
      <x:c r="C33" s="55"/>
      <x:c r="D33" s="55"/>
      <x:c r="E33" s="120"/>
      <x:c r="F33" s="123"/>
      <x:c r="G33" s="120"/>
      <x:c r="H33" s="57"/>
      <x:c r="I33" s="57"/>
      <x:c r="J33" s="120"/>
      <x:c r="K33" s="55"/>
      <x:c r="L33" s="55"/>
      <x:c r="M33" s="55"/>
      <x:c r="N33" s="110"/>
    </x:row>
    <x:row r="34">
      <x:c r="A34" s="109"/>
      <x:c r="B34" s="120"/>
      <x:c r="C34" s="55"/>
      <x:c r="D34" s="55"/>
      <x:c r="E34" s="120"/>
      <x:c r="F34" s="123"/>
      <x:c r="G34" s="120"/>
      <x:c r="H34" s="57"/>
      <x:c r="I34" s="57"/>
      <x:c r="J34" s="120"/>
      <x:c r="K34" s="55"/>
      <x:c r="L34" s="55"/>
      <x:c r="M34" s="55"/>
      <x:c r="N34" s="110"/>
    </x:row>
    <x:row r="35">
      <x:c r="A35" s="109"/>
      <x:c r="B35" s="120"/>
      <x:c r="C35" s="55"/>
      <x:c r="D35" s="55"/>
      <x:c r="E35" s="120"/>
      <x:c r="F35" s="123"/>
      <x:c r="G35" s="120"/>
      <x:c r="H35" s="57"/>
      <x:c r="I35" s="57"/>
      <x:c r="J35" s="120"/>
      <x:c r="K35" s="55"/>
      <x:c r="L35" s="55"/>
      <x:c r="M35" s="55"/>
      <x:c r="N35" s="110"/>
    </x:row>
    <x:row r="36">
      <x:c r="A36" s="109"/>
      <x:c r="B36" s="120"/>
      <x:c r="C36" s="55"/>
      <x:c r="D36" s="55"/>
      <x:c r="E36" s="120"/>
      <x:c r="F36" s="123"/>
      <x:c r="G36" s="120"/>
      <x:c r="H36" s="57"/>
      <x:c r="I36" s="57"/>
      <x:c r="J36" s="120"/>
      <x:c r="K36" s="55"/>
      <x:c r="L36" s="55"/>
      <x:c r="M36" s="55"/>
      <x:c r="N36" s="110"/>
    </x:row>
    <x:row r="37">
      <x:c r="A37" s="109"/>
      <x:c r="B37" s="120"/>
      <x:c r="C37" s="55"/>
      <x:c r="D37" s="55"/>
      <x:c r="E37" s="120"/>
      <x:c r="F37" s="123"/>
      <x:c r="G37" s="120"/>
      <x:c r="H37" s="57"/>
      <x:c r="I37" s="57"/>
      <x:c r="J37" s="120"/>
      <x:c r="K37" s="55"/>
      <x:c r="L37" s="55"/>
      <x:c r="M37" s="55"/>
      <x:c r="N37" s="110"/>
    </x:row>
    <x:row r="38">
      <x:c r="A38" s="109"/>
      <x:c r="B38" s="120"/>
      <x:c r="C38" s="55"/>
      <x:c r="D38" s="55"/>
      <x:c r="E38" s="120"/>
      <x:c r="F38" s="123"/>
      <x:c r="G38" s="120"/>
      <x:c r="H38" s="57"/>
      <x:c r="I38" s="57"/>
      <x:c r="J38" s="120"/>
      <x:c r="K38" s="55"/>
      <x:c r="L38" s="55"/>
      <x:c r="M38" s="55"/>
      <x:c r="N38" s="110"/>
    </x:row>
    <x:row r="39">
      <x:c r="A39" s="109"/>
      <x:c r="B39" s="120"/>
      <x:c r="C39" s="55"/>
      <x:c r="D39" s="55"/>
      <x:c r="E39" s="120"/>
      <x:c r="F39" s="123"/>
      <x:c r="G39" s="120"/>
      <x:c r="H39" s="57"/>
      <x:c r="I39" s="57"/>
      <x:c r="J39" s="120"/>
      <x:c r="K39" s="55"/>
      <x:c r="L39" s="55"/>
      <x:c r="M39" s="55"/>
      <x:c r="N39" s="110"/>
    </x:row>
    <x:row r="40">
      <x:c r="A40" s="109"/>
      <x:c r="B40" s="120"/>
      <x:c r="C40" s="55"/>
      <x:c r="D40" s="55"/>
      <x:c r="E40" s="120"/>
      <x:c r="F40" s="123"/>
      <x:c r="G40" s="120"/>
      <x:c r="H40" s="57"/>
      <x:c r="I40" s="57"/>
      <x:c r="J40" s="120"/>
      <x:c r="K40" s="55"/>
      <x:c r="L40" s="55"/>
      <x:c r="M40" s="55"/>
      <x:c r="N40" s="110"/>
    </x:row>
    <x:row r="41">
      <x:c r="A41" s="109"/>
      <x:c r="B41" s="120"/>
      <x:c r="C41" s="55"/>
      <x:c r="D41" s="55"/>
      <x:c r="E41" s="120"/>
      <x:c r="F41" s="123"/>
      <x:c r="G41" s="120"/>
      <x:c r="H41" s="57"/>
      <x:c r="I41" s="57"/>
      <x:c r="J41" s="120"/>
      <x:c r="K41" s="55"/>
      <x:c r="L41" s="55"/>
      <x:c r="M41" s="55"/>
      <x:c r="N41" s="110"/>
    </x:row>
    <x:row r="42">
      <x:c r="A42" s="109"/>
      <x:c r="B42" s="120"/>
      <x:c r="C42" s="55"/>
      <x:c r="D42" s="55"/>
      <x:c r="E42" s="120"/>
      <x:c r="F42" s="123"/>
      <x:c r="G42" s="120"/>
      <x:c r="H42" s="57"/>
      <x:c r="I42" s="57"/>
      <x:c r="J42" s="120"/>
      <x:c r="K42" s="55"/>
      <x:c r="L42" s="55"/>
      <x:c r="M42" s="55"/>
      <x:c r="N42" s="110"/>
    </x:row>
    <x:row r="43">
      <x:c r="A43" s="109"/>
      <x:c r="B43" s="120"/>
      <x:c r="C43" s="55"/>
      <x:c r="D43" s="55"/>
      <x:c r="E43" s="120"/>
      <x:c r="F43" s="123"/>
      <x:c r="G43" s="120"/>
      <x:c r="H43" s="57"/>
      <x:c r="I43" s="57"/>
      <x:c r="J43" s="120"/>
      <x:c r="K43" s="55"/>
      <x:c r="L43" s="55"/>
      <x:c r="M43" s="55"/>
      <x:c r="N43" s="110"/>
    </x:row>
    <x:row r="44">
      <x:c r="A44" s="109"/>
      <x:c r="B44" s="120"/>
      <x:c r="C44" s="55"/>
      <x:c r="D44" s="55"/>
      <x:c r="E44" s="120"/>
      <x:c r="F44" s="123"/>
      <x:c r="G44" s="120"/>
      <x:c r="H44" s="57"/>
      <x:c r="I44" s="57"/>
      <x:c r="J44" s="120"/>
      <x:c r="K44" s="55"/>
      <x:c r="L44" s="55"/>
      <x:c r="M44" s="55"/>
      <x:c r="N44" s="110"/>
    </x:row>
    <x:row r="45">
      <x:c r="A45" s="109"/>
      <x:c r="B45" s="120"/>
      <x:c r="C45" s="55"/>
      <x:c r="D45" s="55"/>
      <x:c r="E45" s="120"/>
      <x:c r="F45" s="123"/>
      <x:c r="G45" s="120"/>
      <x:c r="H45" s="57"/>
      <x:c r="I45" s="57"/>
      <x:c r="J45" s="120"/>
      <x:c r="K45" s="55"/>
      <x:c r="L45" s="55"/>
      <x:c r="M45" s="55"/>
      <x:c r="N45" s="110"/>
    </x:row>
    <x:row r="46">
      <x:c r="A46" s="109"/>
      <x:c r="B46" s="120"/>
      <x:c r="C46" s="55"/>
      <x:c r="D46" s="55"/>
      <x:c r="E46" s="120"/>
      <x:c r="F46" s="123"/>
      <x:c r="G46" s="120"/>
      <x:c r="H46" s="57"/>
      <x:c r="I46" s="57"/>
      <x:c r="J46" s="120"/>
      <x:c r="K46" s="55"/>
      <x:c r="L46" s="55"/>
      <x:c r="M46" s="55"/>
      <x:c r="N46" s="110"/>
    </x:row>
    <x:row r="47">
      <x:c r="A47" s="109"/>
      <x:c r="B47" s="120"/>
      <x:c r="C47" s="55"/>
      <x:c r="D47" s="55"/>
      <x:c r="E47" s="120"/>
      <x:c r="F47" s="123"/>
      <x:c r="G47" s="120"/>
      <x:c r="H47" s="57"/>
      <x:c r="I47" s="57"/>
      <x:c r="J47" s="120"/>
      <x:c r="K47" s="55"/>
      <x:c r="L47" s="55"/>
      <x:c r="M47" s="55"/>
      <x:c r="N47" s="110"/>
    </x:row>
    <x:row r="48">
      <x:c r="A48" s="109"/>
      <x:c r="B48" s="120"/>
      <x:c r="C48" s="55"/>
      <x:c r="D48" s="55"/>
      <x:c r="E48" s="120"/>
      <x:c r="F48" s="123"/>
      <x:c r="G48" s="120"/>
      <x:c r="H48" s="57"/>
      <x:c r="I48" s="57"/>
      <x:c r="J48" s="120"/>
      <x:c r="K48" s="55"/>
      <x:c r="L48" s="55"/>
      <x:c r="M48" s="55"/>
      <x:c r="N48" s="110"/>
    </x:row>
    <x:row r="49">
      <x:c r="A49" s="109"/>
      <x:c r="B49" s="120"/>
      <x:c r="C49" s="55"/>
      <x:c r="D49" s="55"/>
      <x:c r="E49" s="120"/>
      <x:c r="F49" s="123"/>
      <x:c r="G49" s="120"/>
      <x:c r="H49" s="57"/>
      <x:c r="I49" s="57"/>
      <x:c r="J49" s="120"/>
      <x:c r="K49" s="55"/>
      <x:c r="L49" s="55"/>
      <x:c r="M49" s="55"/>
      <x:c r="N49" s="110"/>
    </x:row>
    <x:row r="50">
      <x:c r="A50" s="109"/>
      <x:c r="B50" s="120"/>
      <x:c r="C50" s="55"/>
      <x:c r="D50" s="55"/>
      <x:c r="E50" s="120"/>
      <x:c r="F50" s="123"/>
      <x:c r="G50" s="120"/>
      <x:c r="H50" s="57"/>
      <x:c r="I50" s="57"/>
      <x:c r="J50" s="120"/>
      <x:c r="K50" s="55"/>
      <x:c r="L50" s="55"/>
      <x:c r="M50" s="55"/>
      <x:c r="N50" s="110"/>
    </x:row>
    <x:row r="51">
      <x:c r="A51" s="109"/>
      <x:c r="B51" s="120"/>
      <x:c r="C51" s="55"/>
      <x:c r="D51" s="55"/>
      <x:c r="E51" s="120"/>
      <x:c r="F51" s="123"/>
      <x:c r="G51" s="120"/>
      <x:c r="H51" s="57"/>
      <x:c r="I51" s="57"/>
      <x:c r="J51" s="120"/>
      <x:c r="K51" s="55"/>
      <x:c r="L51" s="55"/>
      <x:c r="M51" s="55"/>
      <x:c r="N51" s="110"/>
    </x:row>
    <x:row r="52">
      <x:c r="A52" s="109"/>
      <x:c r="B52" s="120"/>
      <x:c r="C52" s="55"/>
      <x:c r="D52" s="55"/>
      <x:c r="E52" s="120"/>
      <x:c r="F52" s="123"/>
      <x:c r="G52" s="120"/>
      <x:c r="H52" s="57"/>
      <x:c r="I52" s="57"/>
      <x:c r="J52" s="120"/>
      <x:c r="K52" s="55"/>
      <x:c r="L52" s="55"/>
      <x:c r="M52" s="55"/>
      <x:c r="N52" s="110"/>
    </x:row>
    <x:row r="53">
      <x:c r="A53" s="109"/>
      <x:c r="B53" s="120"/>
      <x:c r="C53" s="55"/>
      <x:c r="D53" s="55"/>
      <x:c r="E53" s="120"/>
      <x:c r="F53" s="123"/>
      <x:c r="G53" s="120"/>
      <x:c r="H53" s="57"/>
      <x:c r="I53" s="57"/>
      <x:c r="J53" s="120"/>
      <x:c r="K53" s="55"/>
      <x:c r="L53" s="55"/>
      <x:c r="M53" s="55"/>
      <x:c r="N53" s="110"/>
    </x:row>
    <x:row r="54">
      <x:c r="A54" s="109"/>
      <x:c r="B54" s="120"/>
      <x:c r="C54" s="55"/>
      <x:c r="D54" s="55"/>
      <x:c r="E54" s="120"/>
      <x:c r="F54" s="123"/>
      <x:c r="G54" s="120"/>
      <x:c r="H54" s="57"/>
      <x:c r="I54" s="57"/>
      <x:c r="J54" s="120"/>
      <x:c r="K54" s="55"/>
      <x:c r="L54" s="55"/>
      <x:c r="M54" s="55"/>
      <x:c r="N54" s="110"/>
    </x:row>
    <x:row r="55">
      <x:c r="A55" s="109"/>
      <x:c r="B55" s="120"/>
      <x:c r="C55" s="55"/>
      <x:c r="D55" s="55"/>
      <x:c r="E55" s="120"/>
      <x:c r="F55" s="123"/>
      <x:c r="G55" s="120"/>
      <x:c r="H55" s="57"/>
      <x:c r="I55" s="57"/>
      <x:c r="J55" s="120"/>
      <x:c r="K55" s="55"/>
      <x:c r="L55" s="55"/>
      <x:c r="M55" s="55"/>
      <x:c r="N55" s="110"/>
    </x:row>
    <x:row r="56">
      <x:c r="A56" s="109"/>
      <x:c r="B56" s="120"/>
      <x:c r="C56" s="55"/>
      <x:c r="D56" s="55"/>
      <x:c r="E56" s="120"/>
      <x:c r="F56" s="123"/>
      <x:c r="G56" s="120"/>
      <x:c r="H56" s="57"/>
      <x:c r="I56" s="57"/>
      <x:c r="J56" s="120"/>
      <x:c r="K56" s="55"/>
      <x:c r="L56" s="55"/>
      <x:c r="M56" s="55"/>
      <x:c r="N56" s="110"/>
    </x:row>
    <x:row r="57">
      <x:c r="A57" s="109"/>
      <x:c r="B57" s="120"/>
      <x:c r="C57" s="55"/>
      <x:c r="D57" s="55"/>
      <x:c r="E57" s="120"/>
      <x:c r="F57" s="123"/>
      <x:c r="G57" s="120"/>
      <x:c r="H57" s="57"/>
      <x:c r="I57" s="57"/>
      <x:c r="J57" s="120"/>
      <x:c r="K57" s="55"/>
      <x:c r="L57" s="55"/>
      <x:c r="M57" s="55"/>
      <x:c r="N57" s="110"/>
    </x:row>
    <x:row r="58">
      <x:c r="A58" s="109"/>
      <x:c r="B58" s="120"/>
      <x:c r="C58" s="55"/>
      <x:c r="D58" s="55"/>
      <x:c r="E58" s="120"/>
      <x:c r="F58" s="123"/>
      <x:c r="G58" s="120"/>
      <x:c r="H58" s="57"/>
      <x:c r="I58" s="57"/>
      <x:c r="J58" s="120"/>
      <x:c r="K58" s="55"/>
      <x:c r="L58" s="55"/>
      <x:c r="M58" s="55"/>
      <x:c r="N58" s="110"/>
    </x:row>
    <x:row r="59">
      <x:c r="A59" s="109"/>
      <x:c r="B59" s="120"/>
      <x:c r="C59" s="55"/>
      <x:c r="D59" s="55"/>
      <x:c r="E59" s="120"/>
      <x:c r="F59" s="123"/>
      <x:c r="G59" s="120"/>
      <x:c r="H59" s="57"/>
      <x:c r="I59" s="57"/>
      <x:c r="J59" s="120"/>
      <x:c r="K59" s="55"/>
      <x:c r="L59" s="55"/>
      <x:c r="M59" s="55"/>
      <x:c r="N59" s="110"/>
    </x:row>
    <x:row r="60">
      <x:c r="A60" s="109"/>
      <x:c r="B60" s="120"/>
      <x:c r="C60" s="55"/>
      <x:c r="D60" s="55"/>
      <x:c r="E60" s="120"/>
      <x:c r="F60" s="123"/>
      <x:c r="G60" s="120"/>
      <x:c r="H60" s="57"/>
      <x:c r="I60" s="57"/>
      <x:c r="J60" s="120"/>
      <x:c r="K60" s="55"/>
      <x:c r="L60" s="55"/>
      <x:c r="M60" s="55"/>
      <x:c r="N60" s="110"/>
    </x:row>
    <x:row r="61">
      <x:c r="A61" s="109"/>
      <x:c r="B61" s="120"/>
      <x:c r="C61" s="55"/>
      <x:c r="D61" s="55"/>
      <x:c r="E61" s="120"/>
      <x:c r="F61" s="123"/>
      <x:c r="G61" s="120"/>
      <x:c r="H61" s="57"/>
      <x:c r="I61" s="57"/>
      <x:c r="J61" s="120"/>
      <x:c r="K61" s="55"/>
      <x:c r="L61" s="55"/>
      <x:c r="M61" s="55"/>
      <x:c r="N61" s="110"/>
    </x:row>
    <x:row r="62">
      <x:c r="A62" s="109"/>
      <x:c r="B62" s="120"/>
      <x:c r="C62" s="55"/>
      <x:c r="D62" s="55"/>
      <x:c r="E62" s="120"/>
      <x:c r="F62" s="123"/>
      <x:c r="G62" s="120"/>
      <x:c r="H62" s="57"/>
      <x:c r="I62" s="57"/>
      <x:c r="J62" s="120"/>
      <x:c r="K62" s="55"/>
      <x:c r="L62" s="55"/>
      <x:c r="M62" s="55"/>
      <x:c r="N62" s="110"/>
    </x:row>
    <x:row r="63">
      <x:c r="A63" s="109"/>
      <x:c r="B63" s="120"/>
      <x:c r="C63" s="55"/>
      <x:c r="D63" s="55"/>
      <x:c r="E63" s="120"/>
      <x:c r="F63" s="123"/>
      <x:c r="G63" s="120"/>
      <x:c r="H63" s="57"/>
      <x:c r="I63" s="57"/>
      <x:c r="J63" s="120"/>
      <x:c r="K63" s="55"/>
      <x:c r="L63" s="55"/>
      <x:c r="M63" s="55"/>
      <x:c r="N63" s="110"/>
    </x:row>
    <x:row r="64">
      <x:c r="A64" s="109"/>
      <x:c r="B64" s="120"/>
      <x:c r="C64" s="55"/>
      <x:c r="D64" s="55"/>
      <x:c r="E64" s="120"/>
      <x:c r="F64" s="123"/>
      <x:c r="G64" s="120"/>
      <x:c r="H64" s="57"/>
      <x:c r="I64" s="57"/>
      <x:c r="J64" s="120"/>
      <x:c r="K64" s="55"/>
      <x:c r="L64" s="55"/>
      <x:c r="M64" s="55"/>
      <x:c r="N64" s="110"/>
    </x:row>
    <x:row r="65">
      <x:c r="A65" s="109"/>
      <x:c r="B65" s="120"/>
      <x:c r="C65" s="55"/>
      <x:c r="D65" s="55"/>
      <x:c r="E65" s="120"/>
      <x:c r="F65" s="123"/>
      <x:c r="G65" s="120"/>
      <x:c r="H65" s="57"/>
      <x:c r="I65" s="57"/>
      <x:c r="J65" s="120"/>
      <x:c r="K65" s="55"/>
      <x:c r="L65" s="55"/>
      <x:c r="M65" s="55"/>
      <x:c r="N65" s="110"/>
    </x:row>
    <x:row r="66">
      <x:c r="A66" s="109"/>
      <x:c r="B66" s="120"/>
      <x:c r="C66" s="55"/>
      <x:c r="D66" s="55"/>
      <x:c r="E66" s="120"/>
      <x:c r="F66" s="123"/>
      <x:c r="G66" s="120"/>
      <x:c r="H66" s="57"/>
      <x:c r="I66" s="57"/>
      <x:c r="J66" s="120"/>
      <x:c r="K66" s="55"/>
      <x:c r="L66" s="55"/>
      <x:c r="M66" s="55"/>
      <x:c r="N66" s="110"/>
    </x:row>
    <x:row r="67">
      <x:c r="A67" s="109"/>
      <x:c r="B67" s="120"/>
      <x:c r="C67" s="55"/>
      <x:c r="D67" s="55"/>
      <x:c r="E67" s="120"/>
      <x:c r="F67" s="123"/>
      <x:c r="G67" s="120"/>
      <x:c r="H67" s="57"/>
      <x:c r="I67" s="57"/>
      <x:c r="J67" s="120"/>
      <x:c r="K67" s="55"/>
      <x:c r="L67" s="55"/>
      <x:c r="M67" s="55"/>
      <x:c r="N67" s="110"/>
    </x:row>
    <x:row r="68">
      <x:c r="A68" s="109"/>
      <x:c r="B68" s="120"/>
      <x:c r="C68" s="55"/>
      <x:c r="D68" s="55"/>
      <x:c r="E68" s="120"/>
      <x:c r="F68" s="123"/>
      <x:c r="G68" s="120"/>
      <x:c r="H68" s="57"/>
      <x:c r="I68" s="57"/>
      <x:c r="J68" s="120"/>
      <x:c r="K68" s="55"/>
      <x:c r="L68" s="55"/>
      <x:c r="M68" s="55"/>
      <x:c r="N68" s="110"/>
    </x:row>
    <x:row r="69">
      <x:c r="A69" s="109"/>
      <x:c r="B69" s="120"/>
      <x:c r="C69" s="55"/>
      <x:c r="D69" s="55"/>
      <x:c r="E69" s="120"/>
      <x:c r="F69" s="123"/>
      <x:c r="G69" s="120"/>
      <x:c r="H69" s="57"/>
      <x:c r="I69" s="57"/>
      <x:c r="J69" s="120"/>
      <x:c r="K69" s="55"/>
      <x:c r="L69" s="55"/>
      <x:c r="M69" s="55"/>
      <x:c r="N69" s="110"/>
    </x:row>
    <x:row r="70">
      <x:c r="A70" s="109"/>
      <x:c r="B70" s="120"/>
      <x:c r="C70" s="55"/>
      <x:c r="D70" s="55"/>
      <x:c r="E70" s="120"/>
      <x:c r="F70" s="123"/>
      <x:c r="G70" s="120"/>
      <x:c r="H70" s="57"/>
      <x:c r="I70" s="57"/>
      <x:c r="J70" s="120"/>
      <x:c r="K70" s="55"/>
      <x:c r="L70" s="55"/>
      <x:c r="M70" s="55"/>
      <x:c r="N70" s="110"/>
    </x:row>
    <x:row r="71">
      <x:c r="A71" s="109"/>
      <x:c r="B71" s="120"/>
      <x:c r="C71" s="55"/>
      <x:c r="D71" s="55"/>
      <x:c r="E71" s="120"/>
      <x:c r="F71" s="123"/>
      <x:c r="G71" s="120"/>
      <x:c r="H71" s="57"/>
      <x:c r="I71" s="57"/>
      <x:c r="J71" s="120"/>
      <x:c r="K71" s="55"/>
      <x:c r="L71" s="55"/>
      <x:c r="M71" s="55"/>
      <x:c r="N71" s="110"/>
    </x:row>
    <x:row r="72">
      <x:c r="A72" s="109"/>
      <x:c r="B72" s="120"/>
      <x:c r="C72" s="55"/>
      <x:c r="D72" s="55"/>
      <x:c r="E72" s="120"/>
      <x:c r="F72" s="123"/>
      <x:c r="G72" s="120"/>
      <x:c r="H72" s="57"/>
      <x:c r="I72" s="57"/>
      <x:c r="J72" s="120"/>
      <x:c r="K72" s="55"/>
      <x:c r="L72" s="55"/>
      <x:c r="M72" s="55"/>
      <x:c r="N72" s="110"/>
    </x:row>
    <x:row r="73">
      <x:c r="A73" s="109"/>
      <x:c r="B73" s="120"/>
      <x:c r="C73" s="55"/>
      <x:c r="D73" s="55"/>
      <x:c r="E73" s="120"/>
      <x:c r="F73" s="123"/>
      <x:c r="G73" s="120"/>
      <x:c r="H73" s="57"/>
      <x:c r="I73" s="57"/>
      <x:c r="J73" s="120"/>
      <x:c r="K73" s="55"/>
      <x:c r="L73" s="55"/>
      <x:c r="M73" s="55"/>
      <x:c r="N73" s="110"/>
    </x:row>
    <x:row r="74">
      <x:c r="A74" s="109"/>
      <x:c r="B74" s="120"/>
      <x:c r="C74" s="55"/>
      <x:c r="D74" s="55"/>
      <x:c r="E74" s="120"/>
      <x:c r="F74" s="123"/>
      <x:c r="G74" s="120"/>
      <x:c r="H74" s="57"/>
      <x:c r="I74" s="57"/>
      <x:c r="J74" s="120"/>
      <x:c r="K74" s="55"/>
      <x:c r="L74" s="55"/>
      <x:c r="M74" s="55"/>
      <x:c r="N74" s="110"/>
    </x:row>
    <x:row r="75">
      <x:c r="A75" s="109"/>
      <x:c r="B75" s="120"/>
      <x:c r="C75" s="55"/>
      <x:c r="D75" s="55"/>
      <x:c r="E75" s="120"/>
      <x:c r="F75" s="123"/>
      <x:c r="G75" s="120"/>
      <x:c r="H75" s="57"/>
      <x:c r="I75" s="57"/>
      <x:c r="J75" s="120"/>
      <x:c r="K75" s="55"/>
      <x:c r="L75" s="55"/>
      <x:c r="M75" s="55"/>
      <x:c r="N75" s="110"/>
    </x:row>
    <x:row r="76">
      <x:c r="A76" s="109"/>
      <x:c r="B76" s="120"/>
      <x:c r="C76" s="55"/>
      <x:c r="D76" s="55"/>
      <x:c r="E76" s="120"/>
      <x:c r="F76" s="123"/>
      <x:c r="G76" s="120"/>
      <x:c r="H76" s="57"/>
      <x:c r="I76" s="57"/>
      <x:c r="J76" s="120"/>
      <x:c r="K76" s="55"/>
      <x:c r="L76" s="55"/>
      <x:c r="M76" s="55"/>
      <x:c r="N76" s="110"/>
    </x:row>
    <x:row r="77">
      <x:c r="A77" s="109"/>
      <x:c r="B77" s="120"/>
      <x:c r="C77" s="55"/>
      <x:c r="D77" s="55"/>
      <x:c r="E77" s="120"/>
      <x:c r="F77" s="123"/>
      <x:c r="G77" s="120"/>
      <x:c r="H77" s="57"/>
      <x:c r="I77" s="57"/>
      <x:c r="J77" s="120"/>
      <x:c r="K77" s="55"/>
      <x:c r="L77" s="55"/>
      <x:c r="M77" s="55"/>
      <x:c r="N77" s="110"/>
    </x:row>
    <x:row r="78">
      <x:c r="A78" s="109"/>
      <x:c r="B78" s="120"/>
      <x:c r="C78" s="55"/>
      <x:c r="D78" s="55"/>
      <x:c r="E78" s="120"/>
      <x:c r="F78" s="123"/>
      <x:c r="G78" s="120"/>
      <x:c r="H78" s="57"/>
      <x:c r="I78" s="57"/>
      <x:c r="J78" s="120"/>
      <x:c r="K78" s="55"/>
      <x:c r="L78" s="55"/>
      <x:c r="M78" s="55"/>
      <x:c r="N78" s="110"/>
    </x:row>
    <x:row r="79">
      <x:c r="A79" s="109"/>
      <x:c r="B79" s="120"/>
      <x:c r="C79" s="55"/>
      <x:c r="D79" s="55"/>
      <x:c r="E79" s="120"/>
      <x:c r="F79" s="123"/>
      <x:c r="G79" s="120"/>
      <x:c r="H79" s="57"/>
      <x:c r="I79" s="57"/>
      <x:c r="J79" s="120"/>
      <x:c r="K79" s="55"/>
      <x:c r="L79" s="55"/>
      <x:c r="M79" s="55"/>
      <x:c r="N79" s="110"/>
    </x:row>
    <x:row r="80">
      <x:c r="A80" s="109"/>
      <x:c r="B80" s="120"/>
      <x:c r="C80" s="55"/>
      <x:c r="D80" s="55"/>
      <x:c r="E80" s="120"/>
      <x:c r="F80" s="123"/>
      <x:c r="G80" s="120"/>
      <x:c r="H80" s="57"/>
      <x:c r="I80" s="57"/>
      <x:c r="J80" s="120"/>
      <x:c r="K80" s="55"/>
      <x:c r="L80" s="55"/>
      <x:c r="M80" s="55"/>
      <x:c r="N80" s="110"/>
    </x:row>
    <x:row r="81">
      <x:c r="A81" s="109"/>
      <x:c r="B81" s="120"/>
      <x:c r="C81" s="55"/>
      <x:c r="D81" s="55"/>
      <x:c r="E81" s="120"/>
      <x:c r="F81" s="123"/>
      <x:c r="G81" s="120"/>
      <x:c r="H81" s="57"/>
      <x:c r="I81" s="57"/>
      <x:c r="J81" s="120"/>
      <x:c r="K81" s="55"/>
      <x:c r="L81" s="55"/>
      <x:c r="M81" s="55"/>
      <x:c r="N81" s="110"/>
    </x:row>
    <x:row r="82">
      <x:c r="A82" s="109"/>
      <x:c r="B82" s="120"/>
      <x:c r="C82" s="55"/>
      <x:c r="D82" s="55"/>
      <x:c r="E82" s="120"/>
      <x:c r="F82" s="123"/>
      <x:c r="G82" s="120"/>
      <x:c r="H82" s="57"/>
      <x:c r="I82" s="57"/>
      <x:c r="J82" s="120"/>
      <x:c r="K82" s="55"/>
      <x:c r="L82" s="55"/>
      <x:c r="M82" s="55"/>
      <x:c r="N82" s="110"/>
    </x:row>
    <x:row r="83">
      <x:c r="A83" s="109"/>
      <x:c r="B83" s="120"/>
      <x:c r="C83" s="55"/>
      <x:c r="D83" s="55"/>
      <x:c r="E83" s="120"/>
      <x:c r="F83" s="123"/>
      <x:c r="G83" s="120"/>
      <x:c r="H83" s="57"/>
      <x:c r="I83" s="57"/>
      <x:c r="J83" s="120"/>
      <x:c r="K83" s="55"/>
      <x:c r="L83" s="55"/>
      <x:c r="M83" s="55"/>
      <x:c r="N83" s="110"/>
    </x:row>
    <x:row r="84">
      <x:c r="A84" s="109"/>
      <x:c r="B84" s="120"/>
      <x:c r="C84" s="55"/>
      <x:c r="D84" s="55"/>
      <x:c r="E84" s="120"/>
      <x:c r="F84" s="123"/>
      <x:c r="G84" s="120"/>
      <x:c r="H84" s="57"/>
      <x:c r="I84" s="57"/>
      <x:c r="J84" s="120"/>
      <x:c r="K84" s="55"/>
      <x:c r="L84" s="55"/>
      <x:c r="M84" s="55"/>
      <x:c r="N84" s="110"/>
    </x:row>
    <x:row r="85">
      <x:c r="A85" s="109"/>
      <x:c r="B85" s="120"/>
      <x:c r="C85" s="55"/>
      <x:c r="D85" s="55"/>
      <x:c r="E85" s="120"/>
      <x:c r="F85" s="123"/>
      <x:c r="G85" s="120"/>
      <x:c r="H85" s="57"/>
      <x:c r="I85" s="57"/>
      <x:c r="J85" s="120"/>
      <x:c r="K85" s="55"/>
      <x:c r="L85" s="55"/>
      <x:c r="M85" s="55"/>
      <x:c r="N85" s="110"/>
    </x:row>
    <x:row r="86">
      <x:c r="A86" s="109"/>
      <x:c r="B86" s="120"/>
      <x:c r="C86" s="55"/>
      <x:c r="D86" s="55"/>
      <x:c r="E86" s="120"/>
      <x:c r="F86" s="123"/>
      <x:c r="G86" s="120"/>
      <x:c r="H86" s="57"/>
      <x:c r="I86" s="57"/>
      <x:c r="J86" s="120"/>
      <x:c r="K86" s="55"/>
      <x:c r="L86" s="55"/>
      <x:c r="M86" s="55"/>
      <x:c r="N86" s="110"/>
    </x:row>
    <x:row r="87">
      <x:c r="A87" s="109"/>
      <x:c r="B87" s="120"/>
      <x:c r="C87" s="55"/>
      <x:c r="D87" s="55"/>
      <x:c r="E87" s="120"/>
      <x:c r="F87" s="123"/>
      <x:c r="G87" s="120"/>
      <x:c r="H87" s="57"/>
      <x:c r="I87" s="57"/>
      <x:c r="J87" s="120"/>
      <x:c r="K87" s="55"/>
      <x:c r="L87" s="55"/>
      <x:c r="M87" s="55"/>
      <x:c r="N87" s="110"/>
    </x:row>
    <x:row r="88">
      <x:c r="A88" s="109"/>
      <x:c r="B88" s="120"/>
      <x:c r="C88" s="55"/>
      <x:c r="D88" s="55"/>
      <x:c r="E88" s="120"/>
      <x:c r="F88" s="123"/>
      <x:c r="G88" s="120"/>
      <x:c r="H88" s="57"/>
      <x:c r="I88" s="57"/>
      <x:c r="J88" s="120"/>
      <x:c r="K88" s="55"/>
      <x:c r="L88" s="55"/>
      <x:c r="M88" s="55"/>
      <x:c r="N88" s="110"/>
    </x:row>
    <x:row r="89">
      <x:c r="A89" s="109"/>
      <x:c r="B89" s="120"/>
      <x:c r="C89" s="55"/>
      <x:c r="D89" s="55"/>
      <x:c r="E89" s="120"/>
      <x:c r="F89" s="123"/>
      <x:c r="G89" s="120"/>
      <x:c r="H89" s="57"/>
      <x:c r="I89" s="57"/>
      <x:c r="J89" s="120"/>
      <x:c r="K89" s="55"/>
      <x:c r="L89" s="55"/>
      <x:c r="M89" s="55"/>
      <x:c r="N89" s="110"/>
    </x:row>
    <x:row r="90">
      <x:c r="A90" s="109"/>
      <x:c r="B90" s="120"/>
      <x:c r="C90" s="55"/>
      <x:c r="D90" s="55"/>
      <x:c r="E90" s="120"/>
      <x:c r="F90" s="123"/>
      <x:c r="G90" s="120"/>
      <x:c r="H90" s="57"/>
      <x:c r="I90" s="57"/>
      <x:c r="J90" s="120"/>
      <x:c r="K90" s="55"/>
      <x:c r="L90" s="55"/>
      <x:c r="M90" s="55"/>
      <x:c r="N90" s="110"/>
    </x:row>
    <x:row r="91">
      <x:c r="A91" s="109"/>
      <x:c r="B91" s="120"/>
      <x:c r="C91" s="55"/>
      <x:c r="D91" s="55"/>
      <x:c r="E91" s="120"/>
      <x:c r="F91" s="123"/>
      <x:c r="G91" s="120"/>
      <x:c r="H91" s="57"/>
      <x:c r="I91" s="57"/>
      <x:c r="J91" s="120"/>
      <x:c r="K91" s="55"/>
      <x:c r="L91" s="55"/>
      <x:c r="M91" s="55"/>
      <x:c r="N91" s="110"/>
    </x:row>
    <x:row r="92">
      <x:c r="A92" s="109"/>
      <x:c r="B92" s="120"/>
      <x:c r="C92" s="55"/>
      <x:c r="D92" s="55"/>
      <x:c r="E92" s="120"/>
      <x:c r="F92" s="123"/>
      <x:c r="G92" s="120"/>
      <x:c r="H92" s="57"/>
      <x:c r="I92" s="57"/>
      <x:c r="J92" s="120"/>
      <x:c r="K92" s="55"/>
      <x:c r="L92" s="55"/>
      <x:c r="M92" s="55"/>
      <x:c r="N92" s="110"/>
    </x:row>
    <x:row r="93">
      <x:c r="A93" s="109"/>
      <x:c r="B93" s="120"/>
      <x:c r="C93" s="55"/>
      <x:c r="D93" s="55"/>
      <x:c r="E93" s="120"/>
      <x:c r="F93" s="123"/>
      <x:c r="G93" s="120"/>
      <x:c r="H93" s="57"/>
      <x:c r="I93" s="57"/>
      <x:c r="J93" s="120"/>
      <x:c r="K93" s="55"/>
      <x:c r="L93" s="55"/>
      <x:c r="M93" s="55"/>
      <x:c r="N93" s="110"/>
    </x:row>
    <x:row r="94">
      <x:c r="A94" s="109"/>
      <x:c r="B94" s="120"/>
      <x:c r="C94" s="55"/>
      <x:c r="D94" s="55"/>
      <x:c r="E94" s="120"/>
      <x:c r="F94" s="123"/>
      <x:c r="G94" s="120"/>
      <x:c r="H94" s="57"/>
      <x:c r="I94" s="57"/>
      <x:c r="J94" s="120"/>
      <x:c r="K94" s="55"/>
      <x:c r="L94" s="55"/>
      <x:c r="M94" s="55"/>
      <x:c r="N94" s="110"/>
    </x:row>
    <x:row r="95">
      <x:c r="A95" s="109"/>
      <x:c r="B95" s="120"/>
      <x:c r="C95" s="55"/>
      <x:c r="D95" s="55"/>
      <x:c r="E95" s="120"/>
      <x:c r="F95" s="123"/>
      <x:c r="G95" s="120"/>
      <x:c r="H95" s="57"/>
      <x:c r="I95" s="57"/>
      <x:c r="J95" s="120"/>
      <x:c r="K95" s="55"/>
      <x:c r="L95" s="55"/>
      <x:c r="M95" s="55"/>
      <x:c r="N95" s="110"/>
    </x:row>
    <x:row r="96">
      <x:c r="A96" s="109"/>
      <x:c r="B96" s="120"/>
      <x:c r="C96" s="55"/>
      <x:c r="D96" s="55"/>
      <x:c r="E96" s="120"/>
      <x:c r="F96" s="123"/>
      <x:c r="G96" s="120"/>
      <x:c r="H96" s="57"/>
      <x:c r="I96" s="57"/>
      <x:c r="J96" s="120"/>
      <x:c r="K96" s="55"/>
      <x:c r="L96" s="55"/>
      <x:c r="M96" s="55"/>
      <x:c r="N96" s="110"/>
    </x:row>
    <x:row r="97">
      <x:c r="A97" s="109"/>
      <x:c r="B97" s="120"/>
      <x:c r="C97" s="55"/>
      <x:c r="D97" s="55"/>
      <x:c r="E97" s="120"/>
      <x:c r="F97" s="123"/>
      <x:c r="G97" s="120"/>
      <x:c r="H97" s="57"/>
      <x:c r="I97" s="57"/>
      <x:c r="J97" s="120"/>
      <x:c r="K97" s="55"/>
      <x:c r="L97" s="55"/>
      <x:c r="M97" s="55"/>
      <x:c r="N97" s="110"/>
    </x:row>
    <x:row r="98">
      <x:c r="A98" s="109"/>
      <x:c r="B98" s="120"/>
      <x:c r="C98" s="55"/>
      <x:c r="D98" s="55"/>
      <x:c r="E98" s="120"/>
      <x:c r="F98" s="123"/>
      <x:c r="G98" s="120"/>
      <x:c r="H98" s="57"/>
      <x:c r="I98" s="57"/>
      <x:c r="J98" s="120"/>
      <x:c r="K98" s="55"/>
      <x:c r="L98" s="55"/>
      <x:c r="M98" s="55"/>
      <x:c r="N98" s="110"/>
    </x:row>
    <x:row r="99">
      <x:c r="A99" s="109"/>
      <x:c r="B99" s="120"/>
      <x:c r="C99" s="55"/>
      <x:c r="D99" s="55"/>
      <x:c r="E99" s="120"/>
      <x:c r="F99" s="123"/>
      <x:c r="G99" s="120"/>
      <x:c r="H99" s="57"/>
      <x:c r="I99" s="57"/>
      <x:c r="J99" s="120"/>
      <x:c r="K99" s="55"/>
      <x:c r="L99" s="55"/>
      <x:c r="M99" s="55"/>
      <x:c r="N99" s="110"/>
    </x:row>
    <x:row r="100">
      <x:c r="A100" s="109"/>
      <x:c r="B100" s="120"/>
      <x:c r="C100" s="55"/>
      <x:c r="D100" s="55"/>
      <x:c r="E100" s="120"/>
      <x:c r="F100" s="123"/>
      <x:c r="G100" s="120"/>
      <x:c r="H100" s="57"/>
      <x:c r="I100" s="57"/>
      <x:c r="J100" s="120"/>
      <x:c r="K100" s="55"/>
      <x:c r="L100" s="55"/>
      <x:c r="M100" s="55"/>
      <x:c r="N100" s="110"/>
    </x:row>
    <x:row r="101">
      <x:c r="A101" s="109"/>
      <x:c r="B101" s="120"/>
      <x:c r="C101" s="55"/>
      <x:c r="D101" s="55"/>
      <x:c r="E101" s="120"/>
      <x:c r="F101" s="123"/>
      <x:c r="G101" s="120"/>
      <x:c r="H101" s="57"/>
      <x:c r="I101" s="57"/>
      <x:c r="J101" s="120"/>
      <x:c r="K101" s="55"/>
      <x:c r="L101" s="55"/>
      <x:c r="M101" s="55"/>
      <x:c r="N101" s="110"/>
    </x:row>
    <x:row r="102">
      <x:c r="A102" s="109"/>
      <x:c r="B102" s="120"/>
      <x:c r="C102" s="55"/>
      <x:c r="D102" s="55"/>
      <x:c r="E102" s="120"/>
      <x:c r="F102" s="123"/>
      <x:c r="G102" s="120"/>
      <x:c r="H102" s="57"/>
      <x:c r="I102" s="57"/>
      <x:c r="J102" s="120"/>
      <x:c r="K102" s="55"/>
      <x:c r="L102" s="55"/>
      <x:c r="M102" s="55"/>
      <x:c r="N102" s="110"/>
    </x:row>
    <x:row r="103">
      <x:c r="A103" s="109"/>
      <x:c r="B103" s="120"/>
      <x:c r="C103" s="55"/>
      <x:c r="D103" s="55"/>
      <x:c r="E103" s="120"/>
      <x:c r="F103" s="123"/>
      <x:c r="G103" s="120"/>
      <x:c r="H103" s="57"/>
      <x:c r="I103" s="57"/>
      <x:c r="J103" s="120"/>
      <x:c r="K103" s="55"/>
      <x:c r="L103" s="55"/>
      <x:c r="M103" s="55"/>
      <x:c r="N103" s="110"/>
    </x:row>
    <x:row r="104">
      <x:c r="A104" s="109"/>
      <x:c r="B104" s="120"/>
      <x:c r="C104" s="55"/>
      <x:c r="D104" s="55"/>
      <x:c r="E104" s="120"/>
      <x:c r="F104" s="123"/>
      <x:c r="G104" s="120"/>
      <x:c r="H104" s="57"/>
      <x:c r="I104" s="57"/>
      <x:c r="J104" s="120"/>
      <x:c r="K104" s="55"/>
      <x:c r="L104" s="55"/>
      <x:c r="M104" s="55"/>
      <x:c r="N104" s="110"/>
    </x:row>
    <x:row r="105">
      <x:c r="A105" s="109"/>
      <x:c r="B105" s="120"/>
      <x:c r="C105" s="55"/>
      <x:c r="D105" s="55"/>
      <x:c r="E105" s="120"/>
      <x:c r="F105" s="123"/>
      <x:c r="G105" s="120"/>
      <x:c r="H105" s="57"/>
      <x:c r="I105" s="57"/>
      <x:c r="J105" s="120"/>
      <x:c r="K105" s="55"/>
      <x:c r="L105" s="55"/>
      <x:c r="M105" s="55"/>
      <x:c r="N105" s="110"/>
    </x:row>
    <x:row r="106">
      <x:c r="A106" s="109"/>
      <x:c r="B106" s="120"/>
      <x:c r="C106" s="55"/>
      <x:c r="D106" s="55"/>
      <x:c r="E106" s="120"/>
      <x:c r="F106" s="123"/>
      <x:c r="G106" s="120"/>
      <x:c r="H106" s="57"/>
      <x:c r="I106" s="57"/>
      <x:c r="J106" s="120"/>
      <x:c r="K106" s="55"/>
      <x:c r="L106" s="55"/>
      <x:c r="M106" s="55"/>
      <x:c r="N106" s="110"/>
    </x:row>
    <x:row r="107">
      <x:c r="A107" s="109"/>
      <x:c r="B107" s="120"/>
      <x:c r="C107" s="55"/>
      <x:c r="D107" s="55"/>
      <x:c r="E107" s="120"/>
      <x:c r="F107" s="123"/>
      <x:c r="G107" s="120"/>
      <x:c r="H107" s="57"/>
      <x:c r="I107" s="57"/>
      <x:c r="J107" s="120"/>
      <x:c r="K107" s="55"/>
      <x:c r="L107" s="55"/>
      <x:c r="M107" s="55"/>
      <x:c r="N107" s="110"/>
    </x:row>
    <x:row r="108">
      <x:c r="A108" s="109"/>
      <x:c r="B108" s="120"/>
      <x:c r="C108" s="55"/>
      <x:c r="D108" s="55"/>
      <x:c r="E108" s="120"/>
      <x:c r="F108" s="123"/>
      <x:c r="G108" s="120"/>
      <x:c r="H108" s="57"/>
      <x:c r="I108" s="57"/>
      <x:c r="J108" s="120"/>
      <x:c r="K108" s="55"/>
      <x:c r="L108" s="55"/>
      <x:c r="M108" s="55"/>
      <x:c r="N108" s="110"/>
    </x:row>
    <x:row r="109">
      <x:c r="A109" s="109"/>
      <x:c r="B109" s="120"/>
      <x:c r="C109" s="55"/>
      <x:c r="D109" s="55"/>
      <x:c r="E109" s="120"/>
      <x:c r="F109" s="123"/>
      <x:c r="G109" s="120"/>
      <x:c r="H109" s="57"/>
      <x:c r="I109" s="57"/>
      <x:c r="J109" s="120"/>
      <x:c r="K109" s="55"/>
      <x:c r="L109" s="55"/>
      <x:c r="M109" s="55"/>
      <x:c r="N109" s="110"/>
    </x:row>
    <x:row r="110">
      <x:c r="A110" s="109"/>
      <x:c r="B110" s="120"/>
      <x:c r="C110" s="55"/>
      <x:c r="D110" s="55"/>
      <x:c r="E110" s="120"/>
      <x:c r="F110" s="123"/>
      <x:c r="G110" s="120"/>
      <x:c r="H110" s="57"/>
      <x:c r="I110" s="57"/>
      <x:c r="J110" s="120"/>
      <x:c r="K110" s="55"/>
      <x:c r="L110" s="55"/>
      <x:c r="M110" s="55"/>
      <x:c r="N110" s="110"/>
    </x:row>
    <x:row r="111">
      <x:c r="A111" s="109"/>
      <x:c r="B111" s="120"/>
      <x:c r="C111" s="55"/>
      <x:c r="D111" s="55"/>
      <x:c r="E111" s="120"/>
      <x:c r="F111" s="123"/>
      <x:c r="G111" s="120"/>
      <x:c r="H111" s="57"/>
      <x:c r="I111" s="57"/>
      <x:c r="J111" s="120"/>
      <x:c r="K111" s="55"/>
      <x:c r="L111" s="55"/>
      <x:c r="M111" s="55"/>
      <x:c r="N111" s="110"/>
    </x:row>
    <x:row r="112">
      <x:c r="A112" s="109"/>
      <x:c r="B112" s="120"/>
      <x:c r="C112" s="55"/>
      <x:c r="D112" s="55"/>
      <x:c r="E112" s="120"/>
      <x:c r="F112" s="123"/>
      <x:c r="G112" s="120"/>
      <x:c r="H112" s="57"/>
      <x:c r="I112" s="57"/>
      <x:c r="J112" s="120"/>
      <x:c r="K112" s="55"/>
      <x:c r="L112" s="55"/>
      <x:c r="M112" s="55"/>
      <x:c r="N112" s="110"/>
    </x:row>
    <x:row r="113">
      <x:c r="A113" s="109"/>
      <x:c r="B113" s="120"/>
      <x:c r="C113" s="55"/>
      <x:c r="D113" s="55"/>
      <x:c r="E113" s="120"/>
      <x:c r="F113" s="123"/>
      <x:c r="G113" s="120"/>
      <x:c r="H113" s="57"/>
      <x:c r="I113" s="57"/>
      <x:c r="J113" s="120"/>
      <x:c r="K113" s="55"/>
      <x:c r="L113" s="55"/>
      <x:c r="M113" s="55"/>
      <x:c r="N113" s="110"/>
    </x:row>
    <x:row r="114">
      <x:c r="A114" s="109"/>
      <x:c r="B114" s="120"/>
      <x:c r="C114" s="55"/>
      <x:c r="D114" s="55"/>
      <x:c r="E114" s="120"/>
      <x:c r="F114" s="123"/>
      <x:c r="G114" s="120"/>
      <x:c r="H114" s="57"/>
      <x:c r="I114" s="57"/>
      <x:c r="J114" s="120"/>
      <x:c r="K114" s="55"/>
      <x:c r="L114" s="55"/>
      <x:c r="M114" s="55"/>
      <x:c r="N114" s="110"/>
    </x:row>
    <x:row r="115">
      <x:c r="A115" s="109"/>
      <x:c r="B115" s="120"/>
      <x:c r="C115" s="55"/>
      <x:c r="D115" s="55"/>
      <x:c r="E115" s="120"/>
      <x:c r="F115" s="123"/>
      <x:c r="G115" s="120"/>
      <x:c r="H115" s="57"/>
      <x:c r="I115" s="57"/>
      <x:c r="J115" s="120"/>
      <x:c r="K115" s="55"/>
      <x:c r="L115" s="55"/>
      <x:c r="M115" s="55"/>
      <x:c r="N115" s="110"/>
    </x:row>
    <x:row r="116">
      <x:c r="A116" s="109"/>
      <x:c r="B116" s="120"/>
      <x:c r="C116" s="55"/>
      <x:c r="D116" s="55"/>
      <x:c r="E116" s="120"/>
      <x:c r="F116" s="123"/>
      <x:c r="G116" s="120"/>
      <x:c r="H116" s="57"/>
      <x:c r="I116" s="57"/>
      <x:c r="J116" s="120"/>
      <x:c r="K116" s="55"/>
      <x:c r="L116" s="55"/>
      <x:c r="M116" s="55"/>
      <x:c r="N116" s="110"/>
    </x:row>
    <x:row r="117">
      <x:c r="A117" s="109"/>
      <x:c r="B117" s="120"/>
      <x:c r="C117" s="55"/>
      <x:c r="D117" s="55"/>
      <x:c r="E117" s="120"/>
      <x:c r="F117" s="123"/>
      <x:c r="G117" s="120"/>
      <x:c r="H117" s="57"/>
      <x:c r="I117" s="57"/>
      <x:c r="J117" s="120"/>
      <x:c r="K117" s="55"/>
      <x:c r="L117" s="55"/>
      <x:c r="M117" s="55"/>
      <x:c r="N117" s="110"/>
    </x:row>
    <x:row r="118">
      <x:c r="A118" s="109"/>
      <x:c r="B118" s="120"/>
      <x:c r="C118" s="55"/>
      <x:c r="D118" s="55"/>
      <x:c r="E118" s="120"/>
      <x:c r="F118" s="123"/>
      <x:c r="G118" s="120"/>
      <x:c r="H118" s="57"/>
      <x:c r="I118" s="57"/>
      <x:c r="J118" s="120"/>
      <x:c r="K118" s="55"/>
      <x:c r="L118" s="55"/>
      <x:c r="M118" s="55"/>
      <x:c r="N118" s="110"/>
    </x:row>
    <x:row r="119">
      <x:c r="A119" s="109"/>
      <x:c r="B119" s="120"/>
      <x:c r="C119" s="55"/>
      <x:c r="D119" s="55"/>
      <x:c r="E119" s="120"/>
      <x:c r="F119" s="123"/>
      <x:c r="G119" s="120"/>
      <x:c r="H119" s="57"/>
      <x:c r="I119" s="57"/>
      <x:c r="J119" s="120"/>
      <x:c r="K119" s="55"/>
      <x:c r="L119" s="55"/>
      <x:c r="M119" s="55"/>
      <x:c r="N119" s="110"/>
    </x:row>
    <x:row r="120">
      <x:c r="A120" s="109"/>
      <x:c r="B120" s="120"/>
      <x:c r="C120" s="55"/>
      <x:c r="D120" s="55"/>
      <x:c r="E120" s="120"/>
      <x:c r="F120" s="123"/>
      <x:c r="G120" s="120"/>
      <x:c r="H120" s="57"/>
      <x:c r="I120" s="57"/>
      <x:c r="J120" s="120"/>
      <x:c r="K120" s="55"/>
      <x:c r="L120" s="55"/>
      <x:c r="M120" s="55"/>
      <x:c r="N120" s="110"/>
    </x:row>
    <x:row r="121">
      <x:c r="A121" s="109"/>
      <x:c r="B121" s="120"/>
      <x:c r="C121" s="55"/>
      <x:c r="D121" s="55"/>
      <x:c r="E121" s="120"/>
      <x:c r="F121" s="123"/>
      <x:c r="G121" s="120"/>
      <x:c r="H121" s="57"/>
      <x:c r="I121" s="57"/>
      <x:c r="J121" s="120"/>
      <x:c r="K121" s="55"/>
      <x:c r="L121" s="55"/>
      <x:c r="M121" s="55"/>
      <x:c r="N121" s="110"/>
    </x:row>
    <x:row r="122">
      <x:c r="A122" s="109"/>
      <x:c r="B122" s="120"/>
      <x:c r="C122" s="55"/>
      <x:c r="D122" s="55"/>
      <x:c r="E122" s="120"/>
      <x:c r="F122" s="123"/>
      <x:c r="G122" s="120"/>
      <x:c r="H122" s="57"/>
      <x:c r="I122" s="57"/>
      <x:c r="J122" s="120"/>
      <x:c r="K122" s="55"/>
      <x:c r="L122" s="55"/>
      <x:c r="M122" s="55"/>
      <x:c r="N122" s="110"/>
    </x:row>
    <x:row r="123">
      <x:c r="A123" s="109"/>
      <x:c r="B123" s="120"/>
      <x:c r="C123" s="55"/>
      <x:c r="D123" s="55"/>
      <x:c r="E123" s="120"/>
      <x:c r="F123" s="123"/>
      <x:c r="G123" s="120"/>
      <x:c r="H123" s="57"/>
      <x:c r="I123" s="57"/>
      <x:c r="J123" s="120"/>
      <x:c r="K123" s="55"/>
      <x:c r="L123" s="55"/>
      <x:c r="M123" s="55"/>
      <x:c r="N123" s="110"/>
    </x:row>
    <x:row r="124">
      <x:c r="A124" s="109"/>
      <x:c r="B124" s="120"/>
      <x:c r="C124" s="55"/>
      <x:c r="D124" s="55"/>
      <x:c r="E124" s="120"/>
      <x:c r="F124" s="123"/>
      <x:c r="G124" s="120"/>
      <x:c r="H124" s="57"/>
      <x:c r="I124" s="57"/>
      <x:c r="J124" s="120"/>
      <x:c r="K124" s="55"/>
      <x:c r="L124" s="55"/>
      <x:c r="M124" s="55"/>
      <x:c r="N124" s="110"/>
    </x:row>
    <x:row r="125">
      <x:c r="A125" s="109"/>
      <x:c r="B125" s="120"/>
      <x:c r="C125" s="55"/>
      <x:c r="D125" s="55"/>
      <x:c r="E125" s="120"/>
      <x:c r="F125" s="123"/>
      <x:c r="G125" s="120"/>
      <x:c r="H125" s="57"/>
      <x:c r="I125" s="57"/>
      <x:c r="J125" s="120"/>
      <x:c r="K125" s="55"/>
      <x:c r="L125" s="55"/>
      <x:c r="M125" s="55"/>
      <x:c r="N125" s="110"/>
    </x:row>
    <x:row r="126">
      <x:c r="A126" s="109"/>
      <x:c r="B126" s="120"/>
      <x:c r="C126" s="55"/>
      <x:c r="D126" s="55"/>
      <x:c r="E126" s="120"/>
      <x:c r="F126" s="123"/>
      <x:c r="G126" s="120"/>
      <x:c r="H126" s="57"/>
      <x:c r="I126" s="57"/>
      <x:c r="J126" s="120"/>
      <x:c r="K126" s="55"/>
      <x:c r="L126" s="55"/>
      <x:c r="M126" s="55"/>
      <x:c r="N126" s="110"/>
    </x:row>
    <x:row r="127">
      <x:c r="A127" s="109"/>
      <x:c r="B127" s="120"/>
      <x:c r="C127" s="55"/>
      <x:c r="D127" s="55"/>
      <x:c r="E127" s="120"/>
      <x:c r="F127" s="123"/>
      <x:c r="G127" s="120"/>
      <x:c r="H127" s="57"/>
      <x:c r="I127" s="57"/>
      <x:c r="J127" s="120"/>
      <x:c r="K127" s="55"/>
      <x:c r="L127" s="55"/>
      <x:c r="M127" s="55"/>
      <x:c r="N127" s="110"/>
    </x:row>
    <x:row r="128">
      <x:c r="A128" s="109"/>
      <x:c r="B128" s="120"/>
      <x:c r="C128" s="55"/>
      <x:c r="D128" s="55"/>
      <x:c r="E128" s="120"/>
      <x:c r="F128" s="123"/>
      <x:c r="G128" s="120"/>
      <x:c r="H128" s="57"/>
      <x:c r="I128" s="57"/>
      <x:c r="J128" s="120"/>
      <x:c r="K128" s="55"/>
      <x:c r="L128" s="55"/>
      <x:c r="M128" s="55"/>
      <x:c r="N128" s="110"/>
    </x:row>
    <x:row r="129">
      <x:c r="A129" s="109"/>
      <x:c r="B129" s="120"/>
      <x:c r="C129" s="55"/>
      <x:c r="D129" s="55"/>
      <x:c r="E129" s="120"/>
      <x:c r="F129" s="123"/>
      <x:c r="G129" s="120"/>
      <x:c r="H129" s="57"/>
      <x:c r="I129" s="57"/>
      <x:c r="J129" s="120"/>
      <x:c r="K129" s="55"/>
      <x:c r="L129" s="55"/>
      <x:c r="M129" s="55"/>
      <x:c r="N129" s="110"/>
    </x:row>
    <x:row r="130">
      <x:c r="A130" s="109"/>
      <x:c r="B130" s="120"/>
      <x:c r="C130" s="55"/>
      <x:c r="D130" s="55"/>
      <x:c r="E130" s="120"/>
      <x:c r="F130" s="123"/>
      <x:c r="G130" s="120"/>
      <x:c r="H130" s="57"/>
      <x:c r="I130" s="57"/>
      <x:c r="J130" s="120"/>
      <x:c r="K130" s="55"/>
      <x:c r="L130" s="55"/>
      <x:c r="M130" s="55"/>
      <x:c r="N130" s="110"/>
    </x:row>
    <x:row r="131">
      <x:c r="A131" s="109"/>
      <x:c r="B131" s="120"/>
      <x:c r="C131" s="55"/>
      <x:c r="D131" s="55"/>
      <x:c r="E131" s="120"/>
      <x:c r="F131" s="123"/>
      <x:c r="G131" s="120"/>
      <x:c r="H131" s="57"/>
      <x:c r="I131" s="57"/>
      <x:c r="J131" s="120"/>
      <x:c r="K131" s="55"/>
      <x:c r="L131" s="55"/>
      <x:c r="M131" s="55"/>
      <x:c r="N131" s="110"/>
    </x:row>
    <x:row r="132">
      <x:c r="A132" s="109"/>
      <x:c r="B132" s="120"/>
      <x:c r="C132" s="55"/>
      <x:c r="D132" s="55"/>
      <x:c r="E132" s="120"/>
      <x:c r="F132" s="123"/>
      <x:c r="G132" s="120"/>
      <x:c r="H132" s="57"/>
      <x:c r="I132" s="57"/>
      <x:c r="J132" s="120"/>
      <x:c r="K132" s="55"/>
      <x:c r="L132" s="55"/>
      <x:c r="M132" s="55"/>
      <x:c r="N132" s="110"/>
    </x:row>
    <x:row r="133">
      <x:c r="A133" s="109"/>
      <x:c r="B133" s="120"/>
      <x:c r="C133" s="55"/>
      <x:c r="D133" s="55"/>
      <x:c r="E133" s="120"/>
      <x:c r="F133" s="123"/>
      <x:c r="G133" s="120"/>
      <x:c r="H133" s="57"/>
      <x:c r="I133" s="57"/>
      <x:c r="J133" s="120"/>
      <x:c r="K133" s="55"/>
      <x:c r="L133" s="55"/>
      <x:c r="M133" s="55"/>
      <x:c r="N133" s="110"/>
    </x:row>
    <x:row r="134">
      <x:c r="A134" s="109"/>
      <x:c r="B134" s="120"/>
      <x:c r="C134" s="55"/>
      <x:c r="D134" s="55"/>
      <x:c r="E134" s="120"/>
      <x:c r="F134" s="123"/>
      <x:c r="G134" s="120"/>
      <x:c r="H134" s="57"/>
      <x:c r="I134" s="57"/>
      <x:c r="J134" s="120"/>
      <x:c r="K134" s="55"/>
      <x:c r="L134" s="55"/>
      <x:c r="M134" s="55"/>
      <x:c r="N134" s="110"/>
    </x:row>
    <x:row r="135">
      <x:c r="A135" s="109"/>
      <x:c r="B135" s="120"/>
      <x:c r="C135" s="55"/>
      <x:c r="D135" s="55"/>
      <x:c r="E135" s="120"/>
      <x:c r="F135" s="123"/>
      <x:c r="G135" s="120"/>
      <x:c r="H135" s="57"/>
      <x:c r="I135" s="57"/>
      <x:c r="J135" s="120"/>
      <x:c r="K135" s="55"/>
      <x:c r="L135" s="55"/>
      <x:c r="M135" s="55"/>
      <x:c r="N135" s="110"/>
    </x:row>
    <x:row r="136">
      <x:c r="A136" s="109"/>
      <x:c r="B136" s="120"/>
      <x:c r="C136" s="55"/>
      <x:c r="D136" s="55"/>
      <x:c r="E136" s="120"/>
      <x:c r="F136" s="123"/>
      <x:c r="G136" s="120"/>
      <x:c r="H136" s="57"/>
      <x:c r="I136" s="57"/>
      <x:c r="J136" s="120"/>
      <x:c r="K136" s="55"/>
      <x:c r="L136" s="55"/>
      <x:c r="M136" s="55"/>
      <x:c r="N136" s="110"/>
    </x:row>
    <x:row r="137">
      <x:c r="A137" s="109"/>
      <x:c r="B137" s="120"/>
      <x:c r="C137" s="55"/>
      <x:c r="D137" s="55"/>
      <x:c r="E137" s="120"/>
      <x:c r="F137" s="123"/>
      <x:c r="G137" s="120"/>
      <x:c r="H137" s="57"/>
      <x:c r="I137" s="57"/>
      <x:c r="J137" s="120"/>
      <x:c r="K137" s="55"/>
      <x:c r="L137" s="55"/>
      <x:c r="M137" s="55"/>
      <x:c r="N137" s="110"/>
    </x:row>
    <x:row r="138">
      <x:c r="A138" s="109"/>
      <x:c r="B138" s="120"/>
      <x:c r="C138" s="55"/>
      <x:c r="D138" s="55"/>
      <x:c r="E138" s="120"/>
      <x:c r="F138" s="123"/>
      <x:c r="G138" s="120"/>
      <x:c r="H138" s="57"/>
      <x:c r="I138" s="57"/>
      <x:c r="J138" s="120"/>
      <x:c r="K138" s="55"/>
      <x:c r="L138" s="55"/>
      <x:c r="M138" s="55"/>
      <x:c r="N138" s="110"/>
    </x:row>
    <x:row r="139">
      <x:c r="A139" s="109"/>
      <x:c r="B139" s="120"/>
      <x:c r="C139" s="55"/>
      <x:c r="D139" s="55"/>
      <x:c r="E139" s="120"/>
      <x:c r="F139" s="123"/>
      <x:c r="G139" s="120"/>
      <x:c r="H139" s="57"/>
      <x:c r="I139" s="57"/>
      <x:c r="J139" s="120"/>
      <x:c r="K139" s="55"/>
      <x:c r="L139" s="55"/>
      <x:c r="M139" s="55"/>
      <x:c r="N139" s="110"/>
    </x:row>
    <x:row r="140">
      <x:c r="A140" s="109"/>
      <x:c r="B140" s="120"/>
      <x:c r="C140" s="55"/>
      <x:c r="D140" s="55"/>
      <x:c r="E140" s="120"/>
      <x:c r="F140" s="123"/>
      <x:c r="G140" s="120"/>
      <x:c r="H140" s="57"/>
      <x:c r="I140" s="57"/>
      <x:c r="J140" s="120"/>
      <x:c r="K140" s="55"/>
      <x:c r="L140" s="55"/>
      <x:c r="M140" s="55"/>
      <x:c r="N140" s="110"/>
    </x:row>
    <x:row r="141">
      <x:c r="A141" s="109"/>
      <x:c r="B141" s="120"/>
      <x:c r="C141" s="55"/>
      <x:c r="D141" s="55"/>
      <x:c r="E141" s="120"/>
      <x:c r="F141" s="123"/>
      <x:c r="G141" s="120"/>
      <x:c r="H141" s="57"/>
      <x:c r="I141" s="57"/>
      <x:c r="J141" s="120"/>
      <x:c r="K141" s="55"/>
      <x:c r="L141" s="55"/>
      <x:c r="M141" s="55"/>
      <x:c r="N141" s="110"/>
    </x:row>
    <x:row r="142">
      <x:c r="A142" s="109"/>
      <x:c r="B142" s="120"/>
      <x:c r="C142" s="55"/>
      <x:c r="D142" s="55"/>
      <x:c r="E142" s="120"/>
      <x:c r="F142" s="123"/>
      <x:c r="G142" s="120"/>
      <x:c r="H142" s="57"/>
      <x:c r="I142" s="57"/>
      <x:c r="J142" s="120"/>
      <x:c r="K142" s="55"/>
      <x:c r="L142" s="55"/>
      <x:c r="M142" s="55"/>
      <x:c r="N142" s="110"/>
    </x:row>
    <x:row r="143">
      <x:c r="A143" s="109"/>
      <x:c r="B143" s="120"/>
      <x:c r="C143" s="55"/>
      <x:c r="D143" s="55"/>
      <x:c r="E143" s="120"/>
      <x:c r="F143" s="123"/>
      <x:c r="G143" s="120"/>
      <x:c r="H143" s="57"/>
      <x:c r="I143" s="57"/>
      <x:c r="J143" s="120"/>
      <x:c r="K143" s="55"/>
      <x:c r="L143" s="55"/>
      <x:c r="M143" s="55"/>
      <x:c r="N143" s="110"/>
    </x:row>
    <x:row r="144">
      <x:c r="A144" s="109"/>
      <x:c r="B144" s="120"/>
      <x:c r="C144" s="55"/>
      <x:c r="D144" s="55"/>
      <x:c r="E144" s="120"/>
      <x:c r="F144" s="123"/>
      <x:c r="G144" s="120"/>
      <x:c r="H144" s="57"/>
      <x:c r="I144" s="57"/>
      <x:c r="J144" s="120"/>
      <x:c r="K144" s="55"/>
      <x:c r="L144" s="55"/>
      <x:c r="M144" s="55"/>
      <x:c r="N144" s="110"/>
    </x:row>
    <x:row r="145">
      <x:c r="A145" s="109"/>
      <x:c r="B145" s="120"/>
      <x:c r="C145" s="55"/>
      <x:c r="D145" s="55"/>
      <x:c r="E145" s="120"/>
      <x:c r="F145" s="123"/>
      <x:c r="G145" s="120"/>
      <x:c r="H145" s="57"/>
      <x:c r="I145" s="57"/>
      <x:c r="J145" s="120"/>
      <x:c r="K145" s="55"/>
      <x:c r="L145" s="55"/>
      <x:c r="M145" s="55"/>
      <x:c r="N145" s="110"/>
    </x:row>
    <x:row r="146">
      <x:c r="A146" s="109"/>
      <x:c r="B146" s="120"/>
      <x:c r="C146" s="55"/>
      <x:c r="D146" s="55"/>
      <x:c r="E146" s="120"/>
      <x:c r="F146" s="123"/>
      <x:c r="G146" s="120"/>
      <x:c r="H146" s="57"/>
      <x:c r="I146" s="57"/>
      <x:c r="J146" s="120"/>
      <x:c r="K146" s="55"/>
      <x:c r="L146" s="55"/>
      <x:c r="M146" s="55"/>
      <x:c r="N146" s="110"/>
    </x:row>
    <x:row r="147">
      <x:c r="A147" s="109"/>
      <x:c r="B147" s="120"/>
      <x:c r="C147" s="55"/>
      <x:c r="D147" s="55"/>
      <x:c r="E147" s="120"/>
      <x:c r="F147" s="123"/>
      <x:c r="G147" s="120"/>
      <x:c r="H147" s="57"/>
      <x:c r="I147" s="57"/>
      <x:c r="J147" s="120"/>
      <x:c r="K147" s="55"/>
      <x:c r="L147" s="55"/>
      <x:c r="M147" s="55"/>
      <x:c r="N147" s="110"/>
    </x:row>
    <x:row r="148">
      <x:c r="A148" s="109"/>
      <x:c r="B148" s="120"/>
      <x:c r="C148" s="55"/>
      <x:c r="D148" s="55"/>
      <x:c r="E148" s="120"/>
      <x:c r="F148" s="123"/>
      <x:c r="G148" s="120"/>
      <x:c r="H148" s="57"/>
      <x:c r="I148" s="57"/>
      <x:c r="J148" s="120"/>
      <x:c r="K148" s="55"/>
      <x:c r="L148" s="55"/>
      <x:c r="M148" s="55"/>
      <x:c r="N148" s="110"/>
    </x:row>
    <x:row r="149">
      <x:c r="A149" s="109"/>
      <x:c r="B149" s="120"/>
      <x:c r="C149" s="55"/>
      <x:c r="D149" s="55"/>
      <x:c r="E149" s="120"/>
      <x:c r="F149" s="123"/>
      <x:c r="G149" s="120"/>
      <x:c r="H149" s="57"/>
      <x:c r="I149" s="57"/>
      <x:c r="J149" s="120"/>
      <x:c r="K149" s="55"/>
      <x:c r="L149" s="55"/>
      <x:c r="M149" s="55"/>
      <x:c r="N149" s="110"/>
    </x:row>
    <x:row r="150">
      <x:c r="A150" s="109"/>
      <x:c r="B150" s="120"/>
      <x:c r="C150" s="55"/>
      <x:c r="D150" s="55"/>
      <x:c r="E150" s="120"/>
      <x:c r="F150" s="123"/>
      <x:c r="G150" s="120"/>
      <x:c r="H150" s="57"/>
      <x:c r="I150" s="57"/>
      <x:c r="J150" s="120"/>
      <x:c r="K150" s="55"/>
      <x:c r="L150" s="55"/>
      <x:c r="M150" s="55"/>
      <x:c r="N150" s="110"/>
    </x:row>
    <x:row r="151">
      <x:c r="A151" s="109"/>
      <x:c r="B151" s="120"/>
      <x:c r="C151" s="55"/>
      <x:c r="D151" s="55"/>
      <x:c r="E151" s="120"/>
      <x:c r="F151" s="123"/>
      <x:c r="G151" s="120"/>
      <x:c r="H151" s="57"/>
      <x:c r="I151" s="57"/>
      <x:c r="J151" s="120"/>
      <x:c r="K151" s="55"/>
      <x:c r="L151" s="55"/>
      <x:c r="M151" s="55"/>
      <x:c r="N151" s="110"/>
    </x:row>
    <x:row r="152">
      <x:c r="A152" s="109"/>
      <x:c r="B152" s="120"/>
      <x:c r="C152" s="55"/>
      <x:c r="D152" s="55"/>
      <x:c r="E152" s="120"/>
      <x:c r="F152" s="123"/>
      <x:c r="G152" s="120"/>
      <x:c r="H152" s="57"/>
      <x:c r="I152" s="57"/>
      <x:c r="J152" s="120"/>
      <x:c r="K152" s="55"/>
      <x:c r="L152" s="55"/>
      <x:c r="M152" s="55"/>
      <x:c r="N152" s="110"/>
    </x:row>
    <x:row r="153">
      <x:c r="A153" s="109"/>
      <x:c r="B153" s="120"/>
      <x:c r="C153" s="55"/>
      <x:c r="D153" s="55"/>
      <x:c r="E153" s="120"/>
      <x:c r="F153" s="123"/>
      <x:c r="G153" s="120"/>
      <x:c r="H153" s="57"/>
      <x:c r="I153" s="57"/>
      <x:c r="J153" s="120"/>
      <x:c r="K153" s="55"/>
      <x:c r="L153" s="55"/>
      <x:c r="M153" s="55"/>
      <x:c r="N153" s="110"/>
    </x:row>
    <x:row r="154">
      <x:c r="A154" s="109"/>
      <x:c r="B154" s="120"/>
      <x:c r="C154" s="55"/>
      <x:c r="D154" s="55"/>
      <x:c r="E154" s="120"/>
      <x:c r="F154" s="123"/>
      <x:c r="G154" s="120"/>
      <x:c r="H154" s="57"/>
      <x:c r="I154" s="57"/>
      <x:c r="J154" s="120"/>
      <x:c r="K154" s="55"/>
      <x:c r="L154" s="55"/>
      <x:c r="M154" s="55"/>
      <x:c r="N154" s="110"/>
    </x:row>
    <x:row r="155">
      <x:c r="A155" s="109"/>
      <x:c r="B155" s="120"/>
      <x:c r="C155" s="55"/>
      <x:c r="D155" s="55"/>
      <x:c r="E155" s="120"/>
      <x:c r="F155" s="123"/>
      <x:c r="G155" s="120"/>
      <x:c r="H155" s="57"/>
      <x:c r="I155" s="57"/>
      <x:c r="J155" s="120"/>
      <x:c r="K155" s="55"/>
      <x:c r="L155" s="55"/>
      <x:c r="M155" s="55"/>
      <x:c r="N155" s="110"/>
    </x:row>
    <x:row r="156">
      <x:c r="A156" s="109"/>
      <x:c r="B156" s="120"/>
      <x:c r="C156" s="55"/>
      <x:c r="D156" s="55"/>
      <x:c r="E156" s="120"/>
      <x:c r="F156" s="123"/>
      <x:c r="G156" s="120"/>
      <x:c r="H156" s="57"/>
      <x:c r="I156" s="57"/>
      <x:c r="J156" s="120"/>
      <x:c r="K156" s="55"/>
      <x:c r="L156" s="55"/>
      <x:c r="M156" s="55"/>
      <x:c r="N156" s="110"/>
    </x:row>
    <x:row r="157">
      <x:c r="A157" s="109"/>
      <x:c r="B157" s="120"/>
      <x:c r="C157" s="55"/>
      <x:c r="D157" s="55"/>
      <x:c r="E157" s="120"/>
      <x:c r="F157" s="123"/>
      <x:c r="G157" s="120"/>
      <x:c r="H157" s="57"/>
      <x:c r="I157" s="57"/>
      <x:c r="J157" s="120"/>
      <x:c r="K157" s="55"/>
      <x:c r="L157" s="55"/>
      <x:c r="M157" s="55"/>
      <x:c r="N157" s="110"/>
    </x:row>
    <x:row r="158">
      <x:c r="A158" s="109"/>
      <x:c r="B158" s="120"/>
      <x:c r="C158" s="55"/>
      <x:c r="D158" s="55"/>
      <x:c r="E158" s="120"/>
      <x:c r="F158" s="123"/>
      <x:c r="G158" s="120"/>
      <x:c r="H158" s="57"/>
      <x:c r="I158" s="57"/>
      <x:c r="J158" s="120"/>
      <x:c r="K158" s="55"/>
      <x:c r="L158" s="55"/>
      <x:c r="M158" s="55"/>
      <x:c r="N158" s="110"/>
    </x:row>
    <x:row r="159">
      <x:c r="A159" s="109"/>
      <x:c r="B159" s="120"/>
      <x:c r="C159" s="55"/>
      <x:c r="D159" s="55"/>
      <x:c r="E159" s="120"/>
      <x:c r="F159" s="123"/>
      <x:c r="G159" s="120"/>
      <x:c r="H159" s="57"/>
      <x:c r="I159" s="57"/>
      <x:c r="J159" s="120"/>
      <x:c r="K159" s="55"/>
      <x:c r="L159" s="55"/>
      <x:c r="M159" s="55"/>
      <x:c r="N159" s="110"/>
    </x:row>
    <x:row r="160">
      <x:c r="A160" s="109"/>
      <x:c r="B160" s="120"/>
      <x:c r="C160" s="55"/>
      <x:c r="D160" s="55"/>
      <x:c r="E160" s="120"/>
      <x:c r="F160" s="123"/>
      <x:c r="G160" s="120"/>
      <x:c r="H160" s="57"/>
      <x:c r="I160" s="57"/>
      <x:c r="J160" s="120"/>
      <x:c r="K160" s="55"/>
      <x:c r="L160" s="55"/>
      <x:c r="M160" s="55"/>
      <x:c r="N160" s="110"/>
    </x:row>
    <x:row r="161">
      <x:c r="A161" s="109"/>
      <x:c r="B161" s="120"/>
      <x:c r="C161" s="55"/>
      <x:c r="D161" s="55"/>
      <x:c r="E161" s="120"/>
      <x:c r="F161" s="123"/>
      <x:c r="G161" s="120"/>
      <x:c r="H161" s="57"/>
      <x:c r="I161" s="57"/>
      <x:c r="J161" s="120"/>
      <x:c r="K161" s="55"/>
      <x:c r="L161" s="55"/>
      <x:c r="M161" s="55"/>
      <x:c r="N161" s="110"/>
    </x:row>
    <x:row r="162">
      <x:c r="A162" s="109"/>
      <x:c r="B162" s="120"/>
      <x:c r="C162" s="55"/>
      <x:c r="D162" s="55"/>
      <x:c r="E162" s="120"/>
      <x:c r="F162" s="123"/>
      <x:c r="G162" s="120"/>
      <x:c r="H162" s="57"/>
      <x:c r="I162" s="57"/>
      <x:c r="J162" s="120"/>
      <x:c r="K162" s="55"/>
      <x:c r="L162" s="55"/>
      <x:c r="M162" s="55"/>
      <x:c r="N162" s="110"/>
    </x:row>
    <x:row r="163">
      <x:c r="A163" s="109"/>
      <x:c r="B163" s="120"/>
      <x:c r="C163" s="55"/>
      <x:c r="D163" s="55"/>
      <x:c r="E163" s="120"/>
      <x:c r="F163" s="123"/>
      <x:c r="G163" s="120"/>
      <x:c r="H163" s="57"/>
      <x:c r="I163" s="57"/>
      <x:c r="J163" s="120"/>
      <x:c r="K163" s="55"/>
      <x:c r="L163" s="55"/>
      <x:c r="M163" s="55"/>
      <x:c r="N163" s="110"/>
    </x:row>
    <x:row r="164">
      <x:c r="A164" s="109"/>
      <x:c r="B164" s="120"/>
      <x:c r="C164" s="55"/>
      <x:c r="D164" s="55"/>
      <x:c r="E164" s="120"/>
      <x:c r="F164" s="123"/>
      <x:c r="G164" s="120"/>
      <x:c r="H164" s="57"/>
      <x:c r="I164" s="57"/>
      <x:c r="J164" s="120"/>
      <x:c r="K164" s="55"/>
      <x:c r="L164" s="55"/>
      <x:c r="M164" s="55"/>
      <x:c r="N164" s="110"/>
    </x:row>
    <x:row r="165">
      <x:c r="A165" s="109"/>
      <x:c r="B165" s="120"/>
      <x:c r="C165" s="55"/>
      <x:c r="D165" s="55"/>
      <x:c r="E165" s="120"/>
      <x:c r="F165" s="123"/>
      <x:c r="G165" s="120"/>
      <x:c r="H165" s="57"/>
      <x:c r="I165" s="57"/>
      <x:c r="J165" s="120"/>
      <x:c r="K165" s="55"/>
      <x:c r="L165" s="55"/>
      <x:c r="M165" s="55"/>
      <x:c r="N165" s="110"/>
    </x:row>
    <x:row r="166">
      <x:c r="A166" s="109"/>
      <x:c r="B166" s="120"/>
      <x:c r="C166" s="55"/>
      <x:c r="D166" s="55"/>
      <x:c r="E166" s="120"/>
      <x:c r="F166" s="123"/>
      <x:c r="G166" s="120"/>
      <x:c r="H166" s="57"/>
      <x:c r="I166" s="57"/>
      <x:c r="J166" s="120"/>
      <x:c r="K166" s="55"/>
      <x:c r="L166" s="55"/>
      <x:c r="M166" s="55"/>
      <x:c r="N166" s="110"/>
    </x:row>
    <x:row r="167">
      <x:c r="A167" s="109"/>
      <x:c r="B167" s="120"/>
      <x:c r="C167" s="55"/>
      <x:c r="D167" s="55"/>
      <x:c r="E167" s="120"/>
      <x:c r="F167" s="123"/>
      <x:c r="G167" s="120"/>
      <x:c r="H167" s="57"/>
      <x:c r="I167" s="57"/>
      <x:c r="J167" s="120"/>
      <x:c r="K167" s="55"/>
      <x:c r="L167" s="55"/>
      <x:c r="M167" s="55"/>
      <x:c r="N167" s="110"/>
    </x:row>
    <x:row r="168">
      <x:c r="A168" s="109"/>
      <x:c r="B168" s="120"/>
      <x:c r="C168" s="55"/>
      <x:c r="D168" s="55"/>
      <x:c r="E168" s="120"/>
      <x:c r="F168" s="123"/>
      <x:c r="G168" s="120"/>
      <x:c r="H168" s="57"/>
      <x:c r="I168" s="57"/>
      <x:c r="J168" s="120"/>
      <x:c r="K168" s="55"/>
      <x:c r="L168" s="55"/>
      <x:c r="M168" s="55"/>
      <x:c r="N168" s="110"/>
    </x:row>
    <x:row r="169">
      <x:c r="A169" s="109"/>
      <x:c r="B169" s="120"/>
      <x:c r="C169" s="55"/>
      <x:c r="D169" s="55"/>
      <x:c r="E169" s="120"/>
      <x:c r="F169" s="123"/>
      <x:c r="G169" s="120"/>
      <x:c r="H169" s="57"/>
      <x:c r="I169" s="57"/>
      <x:c r="J169" s="120"/>
      <x:c r="K169" s="55"/>
      <x:c r="L169" s="55"/>
      <x:c r="M169" s="55"/>
      <x:c r="N169" s="110"/>
    </x:row>
    <x:row r="170">
      <x:c r="A170" s="109"/>
      <x:c r="B170" s="120"/>
      <x:c r="C170" s="55"/>
      <x:c r="D170" s="55"/>
      <x:c r="E170" s="120"/>
      <x:c r="F170" s="123"/>
      <x:c r="G170" s="120"/>
      <x:c r="H170" s="57"/>
      <x:c r="I170" s="57"/>
      <x:c r="J170" s="120"/>
      <x:c r="K170" s="55"/>
      <x:c r="L170" s="55"/>
      <x:c r="M170" s="55"/>
      <x:c r="N170" s="110"/>
    </x:row>
    <x:row r="171">
      <x:c r="A171" s="109"/>
      <x:c r="B171" s="120"/>
      <x:c r="C171" s="55"/>
      <x:c r="D171" s="55"/>
      <x:c r="E171" s="120"/>
      <x:c r="F171" s="123"/>
      <x:c r="G171" s="120"/>
      <x:c r="H171" s="57"/>
      <x:c r="I171" s="57"/>
      <x:c r="J171" s="120"/>
      <x:c r="K171" s="55"/>
      <x:c r="L171" s="55"/>
      <x:c r="M171" s="55"/>
      <x:c r="N171" s="110"/>
    </x:row>
    <x:row r="172">
      <x:c r="A172" s="109"/>
      <x:c r="B172" s="120"/>
      <x:c r="C172" s="55"/>
      <x:c r="D172" s="55"/>
      <x:c r="E172" s="120"/>
      <x:c r="F172" s="123"/>
      <x:c r="G172" s="120"/>
      <x:c r="H172" s="57"/>
      <x:c r="I172" s="57"/>
      <x:c r="J172" s="120"/>
      <x:c r="K172" s="55"/>
      <x:c r="L172" s="55"/>
      <x:c r="M172" s="55"/>
      <x:c r="N172" s="110"/>
    </x:row>
    <x:row r="173">
      <x:c r="A173" s="109"/>
      <x:c r="B173" s="120"/>
      <x:c r="C173" s="55"/>
      <x:c r="D173" s="55"/>
      <x:c r="E173" s="120"/>
      <x:c r="F173" s="123"/>
      <x:c r="G173" s="120"/>
      <x:c r="H173" s="57"/>
      <x:c r="I173" s="57"/>
      <x:c r="J173" s="120"/>
      <x:c r="K173" s="55"/>
      <x:c r="L173" s="55"/>
      <x:c r="M173" s="55"/>
      <x:c r="N173" s="110"/>
    </x:row>
    <x:row r="174">
      <x:c r="A174" s="109"/>
      <x:c r="B174" s="120"/>
      <x:c r="C174" s="55"/>
      <x:c r="D174" s="55"/>
      <x:c r="E174" s="120"/>
      <x:c r="F174" s="123"/>
      <x:c r="G174" s="120"/>
      <x:c r="H174" s="57"/>
      <x:c r="I174" s="57"/>
      <x:c r="J174" s="120"/>
      <x:c r="K174" s="55"/>
      <x:c r="L174" s="55"/>
      <x:c r="M174" s="55"/>
      <x:c r="N174" s="110"/>
    </x:row>
    <x:row r="175">
      <x:c r="A175" s="109"/>
      <x:c r="B175" s="120"/>
      <x:c r="C175" s="55"/>
      <x:c r="D175" s="55"/>
      <x:c r="E175" s="120"/>
      <x:c r="F175" s="123"/>
      <x:c r="G175" s="120"/>
      <x:c r="H175" s="57"/>
      <x:c r="I175" s="57"/>
      <x:c r="J175" s="120"/>
      <x:c r="K175" s="55"/>
      <x:c r="L175" s="55"/>
      <x:c r="M175" s="55"/>
      <x:c r="N175" s="110"/>
    </x:row>
    <x:row r="176">
      <x:c r="A176" s="109"/>
      <x:c r="B176" s="120"/>
      <x:c r="C176" s="55"/>
      <x:c r="D176" s="55"/>
      <x:c r="E176" s="120"/>
      <x:c r="F176" s="123"/>
      <x:c r="G176" s="120"/>
      <x:c r="H176" s="57"/>
      <x:c r="I176" s="57"/>
      <x:c r="J176" s="120"/>
      <x:c r="K176" s="55"/>
      <x:c r="L176" s="55"/>
      <x:c r="M176" s="55"/>
      <x:c r="N176" s="110"/>
    </x:row>
    <x:row r="177">
      <x:c r="A177" s="109"/>
      <x:c r="B177" s="120"/>
      <x:c r="C177" s="55"/>
      <x:c r="D177" s="55"/>
      <x:c r="E177" s="120"/>
      <x:c r="F177" s="123"/>
      <x:c r="G177" s="120"/>
      <x:c r="H177" s="57"/>
      <x:c r="I177" s="57"/>
      <x:c r="J177" s="120"/>
      <x:c r="K177" s="55"/>
      <x:c r="L177" s="55"/>
      <x:c r="M177" s="55"/>
      <x:c r="N177" s="110"/>
    </x:row>
    <x:row r="178">
      <x:c r="A178" s="109"/>
      <x:c r="B178" s="120"/>
      <x:c r="C178" s="55"/>
      <x:c r="D178" s="55"/>
      <x:c r="E178" s="120"/>
      <x:c r="F178" s="123"/>
      <x:c r="G178" s="120"/>
      <x:c r="H178" s="57"/>
      <x:c r="I178" s="57"/>
      <x:c r="J178" s="120"/>
      <x:c r="K178" s="55"/>
      <x:c r="L178" s="55"/>
      <x:c r="M178" s="55"/>
      <x:c r="N178" s="110"/>
    </x:row>
    <x:row r="179">
      <x:c r="A179" s="109"/>
      <x:c r="B179" s="120"/>
      <x:c r="C179" s="55"/>
      <x:c r="D179" s="55"/>
      <x:c r="E179" s="120"/>
      <x:c r="F179" s="123"/>
      <x:c r="G179" s="120"/>
      <x:c r="H179" s="57"/>
      <x:c r="I179" s="57"/>
      <x:c r="J179" s="120"/>
      <x:c r="K179" s="55"/>
      <x:c r="L179" s="55"/>
      <x:c r="M179" s="55"/>
      <x:c r="N179" s="110"/>
    </x:row>
    <x:row r="180">
      <x:c r="A180" s="109"/>
      <x:c r="B180" s="120"/>
      <x:c r="C180" s="55"/>
      <x:c r="D180" s="55"/>
      <x:c r="E180" s="120"/>
      <x:c r="F180" s="123"/>
      <x:c r="G180" s="120"/>
      <x:c r="H180" s="57"/>
      <x:c r="I180" s="57"/>
      <x:c r="J180" s="120"/>
      <x:c r="K180" s="55"/>
      <x:c r="L180" s="55"/>
      <x:c r="M180" s="55"/>
      <x:c r="N180" s="110"/>
    </x:row>
    <x:row r="181">
      <x:c r="A181" s="109"/>
      <x:c r="B181" s="120"/>
      <x:c r="C181" s="55"/>
      <x:c r="D181" s="55"/>
      <x:c r="E181" s="120"/>
      <x:c r="F181" s="123"/>
      <x:c r="G181" s="120"/>
      <x:c r="H181" s="57"/>
      <x:c r="I181" s="57"/>
      <x:c r="J181" s="120"/>
      <x:c r="K181" s="55"/>
      <x:c r="L181" s="55"/>
      <x:c r="M181" s="55"/>
      <x:c r="N181" s="110"/>
    </x:row>
    <x:row r="182">
      <x:c r="A182" s="109"/>
      <x:c r="B182" s="120"/>
      <x:c r="C182" s="55"/>
      <x:c r="D182" s="55"/>
      <x:c r="E182" s="120"/>
      <x:c r="F182" s="123"/>
      <x:c r="G182" s="120"/>
      <x:c r="H182" s="57"/>
      <x:c r="I182" s="57"/>
      <x:c r="J182" s="120"/>
      <x:c r="K182" s="55"/>
      <x:c r="L182" s="55"/>
      <x:c r="M182" s="55"/>
      <x:c r="N182" s="110"/>
    </x:row>
    <x:row r="183">
      <x:c r="A183" s="109"/>
      <x:c r="B183" s="120"/>
      <x:c r="C183" s="55"/>
      <x:c r="D183" s="55"/>
      <x:c r="E183" s="120"/>
      <x:c r="F183" s="123"/>
      <x:c r="G183" s="120"/>
      <x:c r="H183" s="57"/>
      <x:c r="I183" s="57"/>
      <x:c r="J183" s="120"/>
      <x:c r="K183" s="55"/>
      <x:c r="L183" s="55"/>
      <x:c r="M183" s="55"/>
      <x:c r="N183" s="110"/>
    </x:row>
    <x:row r="184">
      <x:c r="A184" s="109"/>
      <x:c r="B184" s="120"/>
      <x:c r="C184" s="55"/>
      <x:c r="D184" s="55"/>
      <x:c r="E184" s="120"/>
      <x:c r="F184" s="123"/>
      <x:c r="G184" s="120"/>
      <x:c r="H184" s="57"/>
      <x:c r="I184" s="57"/>
      <x:c r="J184" s="120"/>
      <x:c r="K184" s="55"/>
      <x:c r="L184" s="55"/>
      <x:c r="M184" s="55"/>
      <x:c r="N184" s="110"/>
    </x:row>
    <x:row r="185">
      <x:c r="A185" s="109"/>
      <x:c r="B185" s="120"/>
      <x:c r="C185" s="55"/>
      <x:c r="D185" s="55"/>
      <x:c r="E185" s="120"/>
      <x:c r="F185" s="123"/>
      <x:c r="G185" s="120"/>
      <x:c r="H185" s="57"/>
      <x:c r="I185" s="57"/>
      <x:c r="J185" s="120"/>
      <x:c r="K185" s="55"/>
      <x:c r="L185" s="55"/>
      <x:c r="M185" s="55"/>
      <x:c r="N185" s="110"/>
    </x:row>
    <x:row r="186">
      <x:c r="A186" s="109"/>
      <x:c r="B186" s="120"/>
      <x:c r="C186" s="55"/>
      <x:c r="D186" s="55"/>
      <x:c r="E186" s="120"/>
      <x:c r="F186" s="123"/>
      <x:c r="G186" s="120"/>
      <x:c r="H186" s="57"/>
      <x:c r="I186" s="57"/>
      <x:c r="J186" s="120"/>
      <x:c r="K186" s="55"/>
      <x:c r="L186" s="55"/>
      <x:c r="M186" s="55"/>
      <x:c r="N186" s="110"/>
    </x:row>
    <x:row r="187">
      <x:c r="A187" s="109"/>
      <x:c r="B187" s="120"/>
      <x:c r="C187" s="55"/>
      <x:c r="D187" s="55"/>
      <x:c r="E187" s="120"/>
      <x:c r="F187" s="123"/>
      <x:c r="G187" s="120"/>
      <x:c r="H187" s="57"/>
      <x:c r="I187" s="57"/>
      <x:c r="J187" s="120"/>
      <x:c r="K187" s="55"/>
      <x:c r="L187" s="55"/>
      <x:c r="M187" s="55"/>
      <x:c r="N187" s="110"/>
    </x:row>
    <x:row r="188">
      <x:c r="A188" s="109"/>
      <x:c r="B188" s="120"/>
      <x:c r="C188" s="55"/>
      <x:c r="D188" s="55"/>
      <x:c r="E188" s="120"/>
      <x:c r="F188" s="123"/>
      <x:c r="G188" s="120"/>
      <x:c r="H188" s="57"/>
      <x:c r="I188" s="57"/>
      <x:c r="J188" s="120"/>
      <x:c r="K188" s="55"/>
      <x:c r="L188" s="55"/>
      <x:c r="M188" s="55"/>
      <x:c r="N188" s="110"/>
    </x:row>
    <x:row r="189">
      <x:c r="A189" s="109"/>
      <x:c r="B189" s="120"/>
      <x:c r="C189" s="55"/>
      <x:c r="D189" s="55"/>
      <x:c r="E189" s="120"/>
      <x:c r="F189" s="123"/>
      <x:c r="G189" s="120"/>
      <x:c r="H189" s="57"/>
      <x:c r="I189" s="57"/>
      <x:c r="J189" s="120"/>
      <x:c r="K189" s="55"/>
      <x:c r="L189" s="55"/>
      <x:c r="M189" s="55"/>
      <x:c r="N189" s="110"/>
    </x:row>
    <x:row r="190">
      <x:c r="A190" s="109"/>
      <x:c r="B190" s="120"/>
      <x:c r="C190" s="55"/>
      <x:c r="D190" s="55"/>
      <x:c r="E190" s="120"/>
      <x:c r="F190" s="123"/>
      <x:c r="G190" s="120"/>
      <x:c r="H190" s="57"/>
      <x:c r="I190" s="57"/>
      <x:c r="J190" s="120"/>
      <x:c r="K190" s="55"/>
      <x:c r="L190" s="55"/>
      <x:c r="M190" s="55"/>
      <x:c r="N190" s="110"/>
    </x:row>
    <x:row r="191">
      <x:c r="A191" s="109"/>
      <x:c r="B191" s="120"/>
      <x:c r="C191" s="55"/>
      <x:c r="D191" s="55"/>
      <x:c r="E191" s="120"/>
      <x:c r="F191" s="123"/>
      <x:c r="G191" s="120"/>
      <x:c r="H191" s="57"/>
      <x:c r="I191" s="57"/>
      <x:c r="J191" s="120"/>
      <x:c r="K191" s="55"/>
      <x:c r="L191" s="55"/>
      <x:c r="M191" s="55"/>
      <x:c r="N191" s="110"/>
    </x:row>
    <x:row r="192">
      <x:c r="A192" s="109"/>
      <x:c r="B192" s="120"/>
      <x:c r="C192" s="55"/>
      <x:c r="D192" s="55"/>
      <x:c r="E192" s="120"/>
      <x:c r="F192" s="123"/>
      <x:c r="G192" s="120"/>
      <x:c r="H192" s="57"/>
      <x:c r="I192" s="57"/>
      <x:c r="J192" s="120"/>
      <x:c r="K192" s="55"/>
      <x:c r="L192" s="55"/>
      <x:c r="M192" s="55"/>
      <x:c r="N192" s="110"/>
    </x:row>
    <x:row r="193">
      <x:c r="A193" s="109"/>
      <x:c r="B193" s="120"/>
      <x:c r="C193" s="55"/>
      <x:c r="D193" s="55"/>
      <x:c r="E193" s="120"/>
      <x:c r="F193" s="123"/>
      <x:c r="G193" s="120"/>
      <x:c r="H193" s="57"/>
      <x:c r="I193" s="57"/>
      <x:c r="J193" s="120"/>
      <x:c r="K193" s="55"/>
      <x:c r="L193" s="55"/>
      <x:c r="M193" s="55"/>
      <x:c r="N193" s="110"/>
    </x:row>
    <x:row r="194">
      <x:c r="A194" s="109"/>
      <x:c r="B194" s="120"/>
      <x:c r="C194" s="55"/>
      <x:c r="D194" s="55"/>
      <x:c r="E194" s="120"/>
      <x:c r="F194" s="123"/>
      <x:c r="G194" s="120"/>
      <x:c r="H194" s="57"/>
      <x:c r="I194" s="57"/>
      <x:c r="J194" s="120"/>
      <x:c r="K194" s="55"/>
      <x:c r="L194" s="55"/>
      <x:c r="M194" s="55"/>
      <x:c r="N194" s="110"/>
    </x:row>
    <x:row r="195">
      <x:c r="A195" s="109"/>
      <x:c r="B195" s="120"/>
      <x:c r="C195" s="55"/>
      <x:c r="D195" s="55"/>
      <x:c r="E195" s="120"/>
      <x:c r="F195" s="123"/>
      <x:c r="G195" s="120"/>
      <x:c r="H195" s="57"/>
      <x:c r="I195" s="57"/>
      <x:c r="J195" s="120"/>
      <x:c r="K195" s="55"/>
      <x:c r="L195" s="55"/>
      <x:c r="M195" s="55"/>
      <x:c r="N195" s="110"/>
    </x:row>
    <x:row r="196">
      <x:c r="A196" s="109"/>
      <x:c r="B196" s="120"/>
      <x:c r="C196" s="55"/>
      <x:c r="D196" s="55"/>
      <x:c r="E196" s="120"/>
      <x:c r="F196" s="123"/>
      <x:c r="G196" s="120"/>
      <x:c r="H196" s="57"/>
      <x:c r="I196" s="57"/>
      <x:c r="J196" s="120"/>
      <x:c r="K196" s="55"/>
      <x:c r="L196" s="55"/>
      <x:c r="M196" s="55"/>
      <x:c r="N196" s="110"/>
    </x:row>
    <x:row r="197">
      <x:c r="A197" s="109"/>
      <x:c r="B197" s="120"/>
      <x:c r="C197" s="55"/>
      <x:c r="D197" s="55"/>
      <x:c r="E197" s="120"/>
      <x:c r="F197" s="123"/>
      <x:c r="G197" s="120"/>
      <x:c r="H197" s="57"/>
      <x:c r="I197" s="57"/>
      <x:c r="J197" s="120"/>
      <x:c r="K197" s="55"/>
      <x:c r="L197" s="55"/>
      <x:c r="M197" s="55"/>
      <x:c r="N197" s="110"/>
    </x:row>
    <x:row r="198">
      <x:c r="A198" s="109"/>
      <x:c r="B198" s="120"/>
      <x:c r="C198" s="55"/>
      <x:c r="D198" s="55"/>
      <x:c r="E198" s="120"/>
      <x:c r="F198" s="123"/>
      <x:c r="G198" s="120"/>
      <x:c r="H198" s="57"/>
      <x:c r="I198" s="57"/>
      <x:c r="J198" s="120"/>
      <x:c r="K198" s="55"/>
      <x:c r="L198" s="55"/>
      <x:c r="M198" s="55"/>
      <x:c r="N198" s="110"/>
    </x:row>
    <x:row r="199">
      <x:c r="A199" s="109"/>
      <x:c r="B199" s="120"/>
      <x:c r="C199" s="55"/>
      <x:c r="D199" s="55"/>
      <x:c r="E199" s="120"/>
      <x:c r="F199" s="123"/>
      <x:c r="G199" s="120"/>
      <x:c r="H199" s="57"/>
      <x:c r="I199" s="57"/>
      <x:c r="J199" s="120"/>
      <x:c r="K199" s="55"/>
      <x:c r="L199" s="55"/>
      <x:c r="M199" s="55"/>
      <x:c r="N199" s="110"/>
    </x:row>
    <x:row r="200">
      <x:c r="A200" s="109"/>
      <x:c r="B200" s="120"/>
      <x:c r="C200" s="55"/>
      <x:c r="D200" s="55"/>
      <x:c r="E200" s="120"/>
      <x:c r="F200" s="123"/>
      <x:c r="G200" s="120"/>
      <x:c r="H200" s="57"/>
      <x:c r="I200" s="57"/>
      <x:c r="J200" s="120"/>
      <x:c r="K200" s="55"/>
      <x:c r="L200" s="55"/>
      <x:c r="M200" s="55"/>
      <x:c r="N200" s="110"/>
    </x:row>
    <x:row r="201">
      <x:c r="A201" s="109"/>
      <x:c r="B201" s="120"/>
      <x:c r="C201" s="55"/>
      <x:c r="D201" s="55"/>
      <x:c r="E201" s="120"/>
      <x:c r="F201" s="123"/>
      <x:c r="G201" s="120"/>
      <x:c r="H201" s="57"/>
      <x:c r="I201" s="57"/>
      <x:c r="J201" s="120"/>
      <x:c r="K201" s="55"/>
      <x:c r="L201" s="55"/>
      <x:c r="M201" s="55"/>
      <x:c r="N201" s="110"/>
    </x:row>
    <x:row r="202">
      <x:c r="A202" s="109"/>
      <x:c r="B202" s="120"/>
      <x:c r="C202" s="55"/>
      <x:c r="D202" s="55"/>
      <x:c r="E202" s="120"/>
      <x:c r="F202" s="123"/>
      <x:c r="G202" s="120"/>
      <x:c r="H202" s="57"/>
      <x:c r="I202" s="57"/>
      <x:c r="J202" s="120"/>
      <x:c r="K202" s="55"/>
      <x:c r="L202" s="55"/>
      <x:c r="M202" s="55"/>
      <x:c r="N202" s="110"/>
    </x:row>
    <x:row r="203">
      <x:c r="A203" s="109"/>
      <x:c r="B203" s="120"/>
      <x:c r="C203" s="55"/>
      <x:c r="D203" s="55"/>
      <x:c r="E203" s="120"/>
      <x:c r="F203" s="123"/>
      <x:c r="G203" s="120"/>
      <x:c r="H203" s="57"/>
      <x:c r="I203" s="57"/>
      <x:c r="J203" s="120"/>
      <x:c r="K203" s="55"/>
      <x:c r="L203" s="55"/>
      <x:c r="M203" s="55"/>
      <x:c r="N203" s="110"/>
    </x:row>
    <x:row r="204">
      <x:c r="A204" s="109"/>
      <x:c r="B204" s="120"/>
      <x:c r="C204" s="55"/>
      <x:c r="D204" s="55"/>
      <x:c r="E204" s="120"/>
      <x:c r="F204" s="123"/>
      <x:c r="G204" s="120"/>
      <x:c r="H204" s="57"/>
      <x:c r="I204" s="57"/>
      <x:c r="J204" s="120"/>
      <x:c r="K204" s="55"/>
      <x:c r="L204" s="55"/>
      <x:c r="M204" s="55"/>
      <x:c r="N204" s="110"/>
    </x:row>
    <x:row r="205">
      <x:c r="A205" s="109"/>
      <x:c r="B205" s="120"/>
      <x:c r="C205" s="55"/>
      <x:c r="D205" s="55"/>
      <x:c r="E205" s="120"/>
      <x:c r="F205" s="123"/>
      <x:c r="G205" s="120"/>
      <x:c r="H205" s="57"/>
      <x:c r="I205" s="57"/>
      <x:c r="J205" s="120"/>
      <x:c r="K205" s="55"/>
      <x:c r="L205" s="55"/>
      <x:c r="M205" s="55"/>
      <x:c r="N205" s="110"/>
    </x:row>
    <x:row r="206">
      <x:c r="A206" s="109"/>
      <x:c r="B206" s="120"/>
      <x:c r="C206" s="55"/>
      <x:c r="D206" s="55"/>
      <x:c r="E206" s="120"/>
      <x:c r="F206" s="123"/>
      <x:c r="G206" s="120"/>
      <x:c r="H206" s="57"/>
      <x:c r="I206" s="57"/>
      <x:c r="J206" s="120"/>
      <x:c r="K206" s="55"/>
      <x:c r="L206" s="55"/>
      <x:c r="M206" s="55"/>
      <x:c r="N206" s="110"/>
    </x:row>
    <x:row r="207">
      <x:c r="A207" s="109"/>
      <x:c r="B207" s="120"/>
      <x:c r="C207" s="55"/>
      <x:c r="D207" s="55"/>
      <x:c r="E207" s="120"/>
      <x:c r="F207" s="123"/>
      <x:c r="G207" s="120"/>
      <x:c r="H207" s="57"/>
      <x:c r="I207" s="57"/>
      <x:c r="J207" s="120"/>
      <x:c r="K207" s="55"/>
      <x:c r="L207" s="55"/>
      <x:c r="M207" s="55"/>
      <x:c r="N207" s="110"/>
    </x:row>
    <x:row r="208">
      <x:c r="A208" s="109"/>
      <x:c r="B208" s="120"/>
      <x:c r="C208" s="55"/>
      <x:c r="D208" s="55"/>
      <x:c r="E208" s="120"/>
      <x:c r="F208" s="123"/>
      <x:c r="G208" s="120"/>
      <x:c r="H208" s="57"/>
      <x:c r="I208" s="57"/>
      <x:c r="J208" s="120"/>
      <x:c r="K208" s="55"/>
      <x:c r="L208" s="55"/>
      <x:c r="M208" s="55"/>
      <x:c r="N208" s="110"/>
    </x:row>
    <x:row r="209">
      <x:c r="A209" s="109"/>
      <x:c r="B209" s="120"/>
      <x:c r="C209" s="55"/>
      <x:c r="D209" s="55"/>
      <x:c r="E209" s="120"/>
      <x:c r="F209" s="123"/>
      <x:c r="G209" s="120"/>
      <x:c r="H209" s="57"/>
      <x:c r="I209" s="57"/>
      <x:c r="J209" s="120"/>
      <x:c r="K209" s="55"/>
      <x:c r="L209" s="55"/>
      <x:c r="M209" s="55"/>
      <x:c r="N209" s="110"/>
    </x:row>
    <x:row r="210">
      <x:c r="A210" s="109"/>
      <x:c r="B210" s="120"/>
      <x:c r="C210" s="55"/>
      <x:c r="D210" s="55"/>
      <x:c r="E210" s="120"/>
      <x:c r="F210" s="123"/>
      <x:c r="G210" s="120"/>
      <x:c r="H210" s="57"/>
      <x:c r="I210" s="57"/>
      <x:c r="J210" s="120"/>
      <x:c r="K210" s="55"/>
      <x:c r="L210" s="55"/>
      <x:c r="M210" s="55"/>
      <x:c r="N210" s="110"/>
    </x:row>
    <x:row r="211">
      <x:c r="A211" s="109"/>
      <x:c r="B211" s="120"/>
      <x:c r="C211" s="55"/>
      <x:c r="D211" s="55"/>
      <x:c r="E211" s="120"/>
      <x:c r="F211" s="123"/>
      <x:c r="G211" s="120"/>
      <x:c r="H211" s="57"/>
      <x:c r="I211" s="57"/>
      <x:c r="J211" s="120"/>
      <x:c r="K211" s="55"/>
      <x:c r="L211" s="55"/>
      <x:c r="M211" s="55"/>
      <x:c r="N211" s="110"/>
    </x:row>
    <x:row r="212">
      <x:c r="A212" s="109"/>
      <x:c r="B212" s="120"/>
      <x:c r="C212" s="55"/>
      <x:c r="D212" s="55"/>
      <x:c r="E212" s="120"/>
      <x:c r="F212" s="123"/>
      <x:c r="G212" s="120"/>
      <x:c r="H212" s="57"/>
      <x:c r="I212" s="57"/>
      <x:c r="J212" s="120"/>
      <x:c r="K212" s="55"/>
      <x:c r="L212" s="55"/>
      <x:c r="M212" s="55"/>
      <x:c r="N212" s="110"/>
    </x:row>
    <x:row r="213">
      <x:c r="A213" s="109"/>
      <x:c r="B213" s="120"/>
      <x:c r="C213" s="55"/>
      <x:c r="D213" s="55"/>
      <x:c r="E213" s="120"/>
      <x:c r="F213" s="123"/>
      <x:c r="G213" s="120"/>
      <x:c r="H213" s="57"/>
      <x:c r="I213" s="57"/>
      <x:c r="J213" s="120"/>
      <x:c r="K213" s="55"/>
      <x:c r="L213" s="55"/>
      <x:c r="M213" s="55"/>
      <x:c r="N213" s="110"/>
    </x:row>
    <x:row r="214">
      <x:c r="A214" s="109"/>
      <x:c r="B214" s="120"/>
      <x:c r="C214" s="55"/>
      <x:c r="D214" s="55"/>
      <x:c r="E214" s="120"/>
      <x:c r="F214" s="123"/>
      <x:c r="G214" s="120"/>
      <x:c r="H214" s="57"/>
      <x:c r="I214" s="57"/>
      <x:c r="J214" s="120"/>
      <x:c r="K214" s="55"/>
      <x:c r="L214" s="55"/>
      <x:c r="M214" s="55"/>
      <x:c r="N214" s="110"/>
    </x:row>
    <x:row r="215">
      <x:c r="A215" s="109"/>
      <x:c r="B215" s="120"/>
      <x:c r="C215" s="55"/>
      <x:c r="D215" s="55"/>
      <x:c r="E215" s="120"/>
      <x:c r="F215" s="123"/>
      <x:c r="G215" s="120"/>
      <x:c r="H215" s="57"/>
      <x:c r="I215" s="57"/>
      <x:c r="J215" s="120"/>
      <x:c r="K215" s="55"/>
      <x:c r="L215" s="55"/>
      <x:c r="M215" s="55"/>
      <x:c r="N215" s="110"/>
    </x:row>
    <x:row r="216">
      <x:c r="A216" s="109"/>
      <x:c r="B216" s="120"/>
      <x:c r="C216" s="55"/>
      <x:c r="D216" s="55"/>
      <x:c r="E216" s="120"/>
      <x:c r="F216" s="123"/>
      <x:c r="G216" s="120"/>
      <x:c r="H216" s="57"/>
      <x:c r="I216" s="57"/>
      <x:c r="J216" s="120"/>
      <x:c r="K216" s="55"/>
      <x:c r="L216" s="55"/>
      <x:c r="M216" s="55"/>
      <x:c r="N216" s="110"/>
    </x:row>
    <x:row r="217">
      <x:c r="A217" s="109"/>
      <x:c r="B217" s="120"/>
      <x:c r="C217" s="55"/>
      <x:c r="D217" s="55"/>
      <x:c r="E217" s="120"/>
      <x:c r="F217" s="123"/>
      <x:c r="G217" s="120"/>
      <x:c r="H217" s="57"/>
      <x:c r="I217" s="57"/>
      <x:c r="J217" s="120"/>
      <x:c r="K217" s="55"/>
      <x:c r="L217" s="55"/>
      <x:c r="M217" s="55"/>
      <x:c r="N217" s="110"/>
    </x:row>
    <x:row r="218">
      <x:c r="A218" s="109"/>
      <x:c r="B218" s="120"/>
      <x:c r="C218" s="55"/>
      <x:c r="D218" s="55"/>
      <x:c r="E218" s="120"/>
      <x:c r="F218" s="123"/>
      <x:c r="G218" s="120"/>
      <x:c r="H218" s="57"/>
      <x:c r="I218" s="57"/>
      <x:c r="J218" s="120"/>
      <x:c r="K218" s="55"/>
      <x:c r="L218" s="55"/>
      <x:c r="M218" s="55"/>
      <x:c r="N218" s="110"/>
    </x:row>
    <x:row r="219">
      <x:c r="A219" s="109"/>
      <x:c r="B219" s="120"/>
      <x:c r="C219" s="55"/>
      <x:c r="D219" s="55"/>
      <x:c r="E219" s="120"/>
      <x:c r="F219" s="123"/>
      <x:c r="G219" s="120"/>
      <x:c r="H219" s="57"/>
      <x:c r="I219" s="57"/>
      <x:c r="J219" s="120"/>
      <x:c r="K219" s="55"/>
      <x:c r="L219" s="55"/>
      <x:c r="M219" s="55"/>
      <x:c r="N219" s="110"/>
    </x:row>
    <x:row r="220">
      <x:c r="A220" s="109"/>
      <x:c r="B220" s="120"/>
      <x:c r="C220" s="55"/>
      <x:c r="D220" s="55"/>
      <x:c r="E220" s="120"/>
      <x:c r="F220" s="123"/>
      <x:c r="G220" s="120"/>
      <x:c r="H220" s="57"/>
      <x:c r="I220" s="57"/>
      <x:c r="J220" s="120"/>
      <x:c r="K220" s="55"/>
      <x:c r="L220" s="55"/>
      <x:c r="M220" s="55"/>
      <x:c r="N220" s="110"/>
    </x:row>
    <x:row r="221">
      <x:c r="A221" s="109"/>
      <x:c r="B221" s="120"/>
      <x:c r="C221" s="55"/>
      <x:c r="D221" s="55"/>
      <x:c r="E221" s="120"/>
      <x:c r="F221" s="123"/>
      <x:c r="G221" s="120"/>
      <x:c r="H221" s="57"/>
      <x:c r="I221" s="57"/>
      <x:c r="J221" s="120"/>
      <x:c r="K221" s="55"/>
      <x:c r="L221" s="55"/>
      <x:c r="M221" s="55"/>
      <x:c r="N221" s="110"/>
    </x:row>
    <x:row r="222">
      <x:c r="A222" s="109"/>
      <x:c r="B222" s="120"/>
      <x:c r="C222" s="55"/>
      <x:c r="D222" s="55"/>
      <x:c r="E222" s="120"/>
      <x:c r="F222" s="123"/>
      <x:c r="G222" s="120"/>
      <x:c r="H222" s="57"/>
      <x:c r="I222" s="57"/>
      <x:c r="J222" s="120"/>
      <x:c r="K222" s="55"/>
      <x:c r="L222" s="55"/>
      <x:c r="M222" s="55"/>
      <x:c r="N222" s="110"/>
    </x:row>
    <x:row r="223">
      <x:c r="A223" s="109"/>
      <x:c r="B223" s="120"/>
      <x:c r="C223" s="55"/>
      <x:c r="D223" s="55"/>
      <x:c r="E223" s="120"/>
      <x:c r="F223" s="123"/>
      <x:c r="G223" s="120"/>
      <x:c r="H223" s="57"/>
      <x:c r="I223" s="57"/>
      <x:c r="J223" s="120"/>
      <x:c r="K223" s="55"/>
      <x:c r="L223" s="55"/>
      <x:c r="M223" s="55"/>
      <x:c r="N223" s="110"/>
    </x:row>
    <x:row r="224">
      <x:c r="A224" s="109"/>
      <x:c r="B224" s="120"/>
      <x:c r="C224" s="55"/>
      <x:c r="D224" s="55"/>
      <x:c r="E224" s="120"/>
      <x:c r="F224" s="123"/>
      <x:c r="G224" s="120"/>
      <x:c r="H224" s="57"/>
      <x:c r="I224" s="57"/>
      <x:c r="J224" s="120"/>
      <x:c r="K224" s="55"/>
      <x:c r="L224" s="55"/>
      <x:c r="M224" s="55"/>
      <x:c r="N224" s="110"/>
    </x:row>
    <x:row r="225">
      <x:c r="A225" s="109"/>
      <x:c r="B225" s="120"/>
      <x:c r="C225" s="55"/>
      <x:c r="D225" s="55"/>
      <x:c r="E225" s="120"/>
      <x:c r="F225" s="123"/>
      <x:c r="G225" s="120"/>
      <x:c r="H225" s="57"/>
      <x:c r="I225" s="57"/>
      <x:c r="J225" s="120"/>
      <x:c r="K225" s="55"/>
      <x:c r="L225" s="55"/>
      <x:c r="M225" s="55"/>
      <x:c r="N225" s="110"/>
    </x:row>
    <x:row r="226">
      <x:c r="A226" s="109"/>
      <x:c r="B226" s="120"/>
      <x:c r="C226" s="55"/>
      <x:c r="D226" s="55"/>
      <x:c r="E226" s="120"/>
      <x:c r="F226" s="123"/>
      <x:c r="G226" s="120"/>
      <x:c r="H226" s="57"/>
      <x:c r="I226" s="57"/>
      <x:c r="J226" s="120"/>
      <x:c r="K226" s="55"/>
      <x:c r="L226" s="55"/>
      <x:c r="M226" s="55"/>
      <x:c r="N226" s="110"/>
    </x:row>
    <x:row r="227">
      <x:c r="A227" s="109"/>
      <x:c r="B227" s="120"/>
      <x:c r="C227" s="55"/>
      <x:c r="D227" s="55"/>
      <x:c r="E227" s="120"/>
      <x:c r="F227" s="123"/>
      <x:c r="G227" s="120"/>
      <x:c r="H227" s="57"/>
      <x:c r="I227" s="57"/>
      <x:c r="J227" s="120"/>
      <x:c r="K227" s="55"/>
      <x:c r="L227" s="55"/>
      <x:c r="M227" s="55"/>
      <x:c r="N227" s="110"/>
    </x:row>
    <x:row r="228">
      <x:c r="A228" s="109"/>
      <x:c r="B228" s="120"/>
      <x:c r="C228" s="55"/>
      <x:c r="D228" s="55"/>
      <x:c r="E228" s="120"/>
      <x:c r="F228" s="123"/>
      <x:c r="G228" s="120"/>
      <x:c r="H228" s="57"/>
      <x:c r="I228" s="57"/>
      <x:c r="J228" s="120"/>
      <x:c r="K228" s="55"/>
      <x:c r="L228" s="55"/>
      <x:c r="M228" s="55"/>
      <x:c r="N228" s="110"/>
    </x:row>
    <x:row r="229">
      <x:c r="A229" s="109"/>
      <x:c r="B229" s="120"/>
      <x:c r="C229" s="55"/>
      <x:c r="D229" s="55"/>
      <x:c r="E229" s="120"/>
      <x:c r="F229" s="123"/>
      <x:c r="G229" s="120"/>
      <x:c r="H229" s="57"/>
      <x:c r="I229" s="57"/>
      <x:c r="J229" s="120"/>
      <x:c r="K229" s="55"/>
      <x:c r="L229" s="55"/>
      <x:c r="M229" s="55"/>
      <x:c r="N229" s="110"/>
    </x:row>
    <x:row r="230">
      <x:c r="A230" s="109"/>
      <x:c r="B230" s="120"/>
      <x:c r="C230" s="55"/>
      <x:c r="D230" s="55"/>
      <x:c r="E230" s="120"/>
      <x:c r="F230" s="123"/>
      <x:c r="G230" s="120"/>
      <x:c r="H230" s="57"/>
      <x:c r="I230" s="57"/>
      <x:c r="J230" s="120"/>
      <x:c r="K230" s="55"/>
      <x:c r="L230" s="55"/>
      <x:c r="M230" s="55"/>
      <x:c r="N230" s="110"/>
    </x:row>
    <x:row r="231">
      <x:c r="A231" s="109"/>
      <x:c r="B231" s="120"/>
      <x:c r="C231" s="55"/>
      <x:c r="D231" s="55"/>
      <x:c r="E231" s="120"/>
      <x:c r="F231" s="123"/>
      <x:c r="G231" s="120"/>
      <x:c r="H231" s="57"/>
      <x:c r="I231" s="57"/>
      <x:c r="J231" s="120"/>
      <x:c r="K231" s="55"/>
      <x:c r="L231" s="55"/>
      <x:c r="M231" s="55"/>
      <x:c r="N231" s="110"/>
    </x:row>
    <x:row r="232">
      <x:c r="A232" s="109"/>
      <x:c r="B232" s="120"/>
      <x:c r="C232" s="55"/>
      <x:c r="D232" s="55"/>
      <x:c r="E232" s="120"/>
      <x:c r="F232" s="123"/>
      <x:c r="G232" s="120"/>
      <x:c r="H232" s="57"/>
      <x:c r="I232" s="57"/>
      <x:c r="J232" s="120"/>
      <x:c r="K232" s="55"/>
      <x:c r="L232" s="55"/>
      <x:c r="M232" s="55"/>
      <x:c r="N232" s="110"/>
    </x:row>
    <x:row r="233">
      <x:c r="A233" s="109"/>
      <x:c r="B233" s="120"/>
      <x:c r="C233" s="55"/>
      <x:c r="D233" s="55"/>
      <x:c r="E233" s="120"/>
      <x:c r="F233" s="123"/>
      <x:c r="G233" s="120"/>
      <x:c r="H233" s="57"/>
      <x:c r="I233" s="57"/>
      <x:c r="J233" s="120"/>
      <x:c r="K233" s="55"/>
      <x:c r="L233" s="55"/>
      <x:c r="M233" s="55"/>
      <x:c r="N233" s="110"/>
    </x:row>
    <x:row r="234">
      <x:c r="A234" s="109"/>
      <x:c r="B234" s="120"/>
      <x:c r="C234" s="55"/>
      <x:c r="D234" s="55"/>
      <x:c r="E234" s="120"/>
      <x:c r="F234" s="123"/>
      <x:c r="G234" s="120"/>
      <x:c r="H234" s="57"/>
      <x:c r="I234" s="57"/>
      <x:c r="J234" s="120"/>
      <x:c r="K234" s="55"/>
      <x:c r="L234" s="55"/>
      <x:c r="M234" s="55"/>
      <x:c r="N234" s="110"/>
    </x:row>
    <x:row r="235">
      <x:c r="A235" s="109"/>
      <x:c r="B235" s="120"/>
      <x:c r="C235" s="55"/>
      <x:c r="D235" s="55"/>
      <x:c r="E235" s="120"/>
      <x:c r="F235" s="123"/>
      <x:c r="G235" s="120"/>
      <x:c r="H235" s="57"/>
      <x:c r="I235" s="57"/>
      <x:c r="J235" s="120"/>
      <x:c r="K235" s="55"/>
      <x:c r="L235" s="55"/>
      <x:c r="M235" s="55"/>
      <x:c r="N235" s="110"/>
    </x:row>
    <x:row r="236">
      <x:c r="A236" s="109"/>
      <x:c r="B236" s="120"/>
      <x:c r="C236" s="55"/>
      <x:c r="D236" s="55"/>
      <x:c r="E236" s="120"/>
      <x:c r="F236" s="123"/>
      <x:c r="G236" s="120"/>
      <x:c r="H236" s="57"/>
      <x:c r="I236" s="57"/>
      <x:c r="J236" s="120"/>
      <x:c r="K236" s="55"/>
      <x:c r="L236" s="55"/>
      <x:c r="M236" s="55"/>
      <x:c r="N236" s="110"/>
    </x:row>
    <x:row r="237">
      <x:c r="A237" s="109"/>
      <x:c r="B237" s="120"/>
      <x:c r="C237" s="55"/>
      <x:c r="D237" s="55"/>
      <x:c r="E237" s="120"/>
      <x:c r="F237" s="123"/>
      <x:c r="G237" s="120"/>
      <x:c r="H237" s="57"/>
      <x:c r="I237" s="57"/>
      <x:c r="J237" s="120"/>
      <x:c r="K237" s="55"/>
      <x:c r="L237" s="55"/>
      <x:c r="M237" s="55"/>
      <x:c r="N237" s="110"/>
    </x:row>
    <x:row r="238">
      <x:c r="A238" s="109"/>
      <x:c r="B238" s="120"/>
      <x:c r="C238" s="55"/>
      <x:c r="D238" s="55"/>
      <x:c r="E238" s="120"/>
      <x:c r="F238" s="123"/>
      <x:c r="G238" s="120"/>
      <x:c r="H238" s="57"/>
      <x:c r="I238" s="57"/>
      <x:c r="J238" s="120"/>
      <x:c r="K238" s="55"/>
      <x:c r="L238" s="55"/>
      <x:c r="M238" s="55"/>
      <x:c r="N238" s="110"/>
    </x:row>
    <x:row r="239">
      <x:c r="A239" s="109"/>
      <x:c r="B239" s="120"/>
      <x:c r="C239" s="55"/>
      <x:c r="D239" s="55"/>
      <x:c r="E239" s="120"/>
      <x:c r="F239" s="123"/>
      <x:c r="G239" s="120"/>
      <x:c r="H239" s="57"/>
      <x:c r="I239" s="57"/>
      <x:c r="J239" s="120"/>
      <x:c r="K239" s="55"/>
      <x:c r="L239" s="55"/>
      <x:c r="M239" s="55"/>
      <x:c r="N239" s="110"/>
    </x:row>
    <x:row r="240">
      <x:c r="A240" s="109"/>
      <x:c r="B240" s="120"/>
      <x:c r="C240" s="55"/>
      <x:c r="D240" s="55"/>
      <x:c r="E240" s="120"/>
      <x:c r="F240" s="123"/>
      <x:c r="G240" s="120"/>
      <x:c r="H240" s="57"/>
      <x:c r="I240" s="57"/>
      <x:c r="J240" s="120"/>
      <x:c r="K240" s="55"/>
      <x:c r="L240" s="55"/>
      <x:c r="M240" s="55"/>
      <x:c r="N240" s="110"/>
    </x:row>
    <x:row r="241">
      <x:c r="A241" s="109"/>
      <x:c r="B241" s="120"/>
      <x:c r="C241" s="55"/>
      <x:c r="D241" s="55"/>
      <x:c r="E241" s="120"/>
      <x:c r="F241" s="123"/>
      <x:c r="G241" s="120"/>
      <x:c r="H241" s="57"/>
      <x:c r="I241" s="57"/>
      <x:c r="J241" s="120"/>
      <x:c r="K241" s="55"/>
      <x:c r="L241" s="55"/>
      <x:c r="M241" s="55"/>
      <x:c r="N241" s="110"/>
    </x:row>
    <x:row r="242">
      <x:c r="A242" s="109"/>
      <x:c r="B242" s="120"/>
      <x:c r="C242" s="55"/>
      <x:c r="D242" s="55"/>
      <x:c r="E242" s="120"/>
      <x:c r="F242" s="123"/>
      <x:c r="G242" s="120"/>
      <x:c r="H242" s="57"/>
      <x:c r="I242" s="57"/>
      <x:c r="J242" s="120"/>
      <x:c r="K242" s="55"/>
      <x:c r="L242" s="55"/>
      <x:c r="M242" s="55"/>
      <x:c r="N242" s="110"/>
    </x:row>
    <x:row r="243">
      <x:c r="A243" s="109"/>
      <x:c r="B243" s="120"/>
      <x:c r="C243" s="55"/>
      <x:c r="D243" s="55"/>
      <x:c r="E243" s="120"/>
      <x:c r="F243" s="123"/>
      <x:c r="G243" s="120"/>
      <x:c r="H243" s="57"/>
      <x:c r="I243" s="57"/>
      <x:c r="J243" s="120"/>
      <x:c r="K243" s="55"/>
      <x:c r="L243" s="55"/>
      <x:c r="M243" s="55"/>
      <x:c r="N243" s="110"/>
    </x:row>
    <x:row r="244">
      <x:c r="A244" s="109"/>
      <x:c r="B244" s="120"/>
      <x:c r="C244" s="55"/>
      <x:c r="D244" s="55"/>
      <x:c r="E244" s="120"/>
      <x:c r="F244" s="123"/>
      <x:c r="G244" s="120"/>
      <x:c r="H244" s="57"/>
      <x:c r="I244" s="57"/>
      <x:c r="J244" s="120"/>
      <x:c r="K244" s="55"/>
      <x:c r="L244" s="55"/>
      <x:c r="M244" s="55"/>
      <x:c r="N244" s="110"/>
    </x:row>
    <x:row r="245">
      <x:c r="A245" s="109"/>
      <x:c r="B245" s="120"/>
      <x:c r="C245" s="55"/>
      <x:c r="D245" s="55"/>
      <x:c r="E245" s="120"/>
      <x:c r="F245" s="123"/>
      <x:c r="G245" s="120"/>
      <x:c r="H245" s="57"/>
      <x:c r="I245" s="57"/>
      <x:c r="J245" s="120"/>
      <x:c r="K245" s="55"/>
      <x:c r="L245" s="55"/>
      <x:c r="M245" s="55"/>
      <x:c r="N245" s="110"/>
    </x:row>
    <x:row r="246">
      <x:c r="A246" s="109"/>
      <x:c r="B246" s="120"/>
      <x:c r="C246" s="55"/>
      <x:c r="D246" s="55"/>
      <x:c r="E246" s="120"/>
      <x:c r="F246" s="123"/>
      <x:c r="G246" s="120"/>
      <x:c r="H246" s="57"/>
      <x:c r="I246" s="57"/>
      <x:c r="J246" s="120"/>
      <x:c r="K246" s="55"/>
      <x:c r="L246" s="55"/>
      <x:c r="M246" s="55"/>
      <x:c r="N246" s="110"/>
    </x:row>
    <x:row r="247">
      <x:c r="A247" s="109"/>
      <x:c r="B247" s="120"/>
      <x:c r="C247" s="55"/>
      <x:c r="D247" s="55"/>
      <x:c r="E247" s="120"/>
      <x:c r="F247" s="123"/>
      <x:c r="G247" s="120"/>
      <x:c r="H247" s="57"/>
      <x:c r="I247" s="57"/>
      <x:c r="J247" s="120"/>
      <x:c r="K247" s="55"/>
      <x:c r="L247" s="55"/>
      <x:c r="M247" s="55"/>
      <x:c r="N247" s="110"/>
    </x:row>
    <x:row r="248">
      <x:c r="A248" s="109"/>
      <x:c r="B248" s="120"/>
      <x:c r="C248" s="55"/>
      <x:c r="D248" s="55"/>
      <x:c r="E248" s="120"/>
      <x:c r="F248" s="123"/>
      <x:c r="G248" s="120"/>
      <x:c r="H248" s="57"/>
      <x:c r="I248" s="57"/>
      <x:c r="J248" s="120"/>
      <x:c r="K248" s="55"/>
      <x:c r="L248" s="55"/>
      <x:c r="M248" s="55"/>
      <x:c r="N248" s="110"/>
    </x:row>
    <x:row r="249">
      <x:c r="A249" s="109"/>
      <x:c r="B249" s="120"/>
      <x:c r="C249" s="55"/>
      <x:c r="D249" s="55"/>
      <x:c r="E249" s="120"/>
      <x:c r="F249" s="123"/>
      <x:c r="G249" s="120"/>
      <x:c r="H249" s="57"/>
      <x:c r="I249" s="57"/>
      <x:c r="J249" s="120"/>
      <x:c r="K249" s="55"/>
      <x:c r="L249" s="55"/>
      <x:c r="M249" s="55"/>
      <x:c r="N249" s="110"/>
    </x:row>
    <x:row r="250">
      <x:c r="A250" s="109"/>
      <x:c r="B250" s="120"/>
      <x:c r="C250" s="55"/>
      <x:c r="D250" s="55"/>
      <x:c r="E250" s="120"/>
      <x:c r="F250" s="123"/>
      <x:c r="G250" s="120"/>
      <x:c r="H250" s="57"/>
      <x:c r="I250" s="57"/>
      <x:c r="J250" s="120"/>
      <x:c r="K250" s="55"/>
      <x:c r="L250" s="55"/>
      <x:c r="M250" s="55"/>
      <x:c r="N250" s="110"/>
    </x:row>
    <x:row r="251">
      <x:c r="A251" s="109"/>
      <x:c r="B251" s="120"/>
      <x:c r="C251" s="55"/>
      <x:c r="D251" s="55"/>
      <x:c r="E251" s="120"/>
      <x:c r="F251" s="123"/>
      <x:c r="G251" s="120"/>
      <x:c r="H251" s="57"/>
      <x:c r="I251" s="57"/>
      <x:c r="J251" s="120"/>
      <x:c r="K251" s="55"/>
      <x:c r="L251" s="55"/>
      <x:c r="M251" s="55"/>
      <x:c r="N251" s="110"/>
    </x:row>
    <x:row r="252">
      <x:c r="A252" s="109"/>
      <x:c r="B252" s="120"/>
      <x:c r="C252" s="55"/>
      <x:c r="D252" s="55"/>
      <x:c r="E252" s="120"/>
      <x:c r="F252" s="123"/>
      <x:c r="G252" s="120"/>
      <x:c r="H252" s="57"/>
      <x:c r="I252" s="57"/>
      <x:c r="J252" s="120"/>
      <x:c r="K252" s="55"/>
      <x:c r="L252" s="55"/>
      <x:c r="M252" s="55"/>
      <x:c r="N252" s="110"/>
    </x:row>
    <x:row r="253">
      <x:c r="A253" s="109"/>
      <x:c r="B253" s="120"/>
      <x:c r="C253" s="55"/>
      <x:c r="D253" s="55"/>
      <x:c r="E253" s="120"/>
      <x:c r="F253" s="123"/>
      <x:c r="G253" s="120"/>
      <x:c r="H253" s="57"/>
      <x:c r="I253" s="57"/>
      <x:c r="J253" s="120"/>
      <x:c r="K253" s="55"/>
      <x:c r="L253" s="55"/>
      <x:c r="M253" s="55"/>
      <x:c r="N253" s="110"/>
    </x:row>
    <x:row r="254">
      <x:c r="A254" s="109"/>
      <x:c r="B254" s="120"/>
      <x:c r="C254" s="55"/>
      <x:c r="D254" s="55"/>
      <x:c r="E254" s="120"/>
      <x:c r="F254" s="123"/>
      <x:c r="G254" s="120"/>
      <x:c r="H254" s="57"/>
      <x:c r="I254" s="57"/>
      <x:c r="J254" s="120"/>
      <x:c r="K254" s="55"/>
      <x:c r="L254" s="55"/>
      <x:c r="M254" s="55"/>
      <x:c r="N254" s="110"/>
    </x:row>
    <x:row r="255">
      <x:c r="A255" s="111"/>
      <x:c r="B255" s="121"/>
      <x:c r="C255" s="112"/>
      <x:c r="D255" s="112"/>
      <x:c r="E255" s="121"/>
      <x:c r="F255" s="124"/>
      <x:c r="G255" s="121"/>
      <x:c r="H255" s="126"/>
      <x:c r="I255" s="126"/>
      <x:c r="J255" s="121"/>
      <x:c r="K255" s="112"/>
      <x:c r="L255" s="112"/>
      <x:c r="M255" s="112"/>
      <x:c r="N255" s="113"/>
    </x:row>
  </x:sheetData>
  <x:mergeCells>
    <x:mergeCell ref="A1:N1"/>
    <x:mergeCell ref="A2:N2"/>
  </x:mergeCells>
  <x:conditionalFormatting sqref="J6:J255">
    <x:cfRule type="containsText" dxfId="4" priority="1" operator="containsText" text="Dibatalkan"/>
  </x:conditionalFormatting>
  <x:dataValidations count="4">
    <x:dataValidation type="list" allowBlank="1" showDropDown="0" sqref="B6:B255">
      <x:formula1>"CnL,WP1,WP2,WP3,WP4,WP5,HR,Manajemen,Umum"</x:formula1>
    </x:dataValidation>
    <x:dataValidation type="list" allowBlank="1" showDropDown="0" sqref="E6:E255">
      <x:formula1>"Tanggal,Rutin"</x:formula1>
    </x:dataValidation>
    <x:dataValidation type="list" allowBlank="1" showDropDown="0" sqref="G6:G255">
      <x:formula1>"Senin,Selasa,Rabu,Kamis,Jumat,Sabtu,Minggu"</x:formula1>
    </x:dataValidation>
    <x:dataValidation type="list" allowBlank="1" showDropDown="0" sqref="J6:J255">
      <x:formula1>"Terkonfirmasi,Tentatif,Dibatalkan"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f279fd11c34ff7"/>
  </x:tableParts>
</x:worksheet>
</file>